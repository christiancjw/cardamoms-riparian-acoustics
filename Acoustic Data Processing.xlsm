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ianching/Documents/Projects/cardamoms-riparian-acoustics/"/>
    </mc:Choice>
  </mc:AlternateContent>
  <xr:revisionPtr revIDLastSave="0" documentId="13_ncr:1_{B9B2E198-7323-6443-9035-578AE297C327}" xr6:coauthVersionLast="47" xr6:coauthVersionMax="47" xr10:uidLastSave="{00000000-0000-0000-0000-000000000000}"/>
  <bookViews>
    <workbookView xWindow="0" yWindow="760" windowWidth="30240" windowHeight="18880" xr2:uid="{7D36CC69-FC00-C149-ABCB-0927E4DB9060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  <definedName name="CellColour">GET.CELL(38,Sheet1!XEX19)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C33" i="1"/>
  <c r="C32" i="1"/>
  <c r="D32" i="1" s="1"/>
  <c r="D33" i="1" s="1"/>
  <c r="C31" i="1"/>
  <c r="D31" i="1" s="1"/>
  <c r="C30" i="1"/>
  <c r="D30" i="1" s="1"/>
  <c r="D36" i="1" l="1"/>
  <c r="B27" i="1"/>
  <c r="D27" i="1" s="1"/>
  <c r="C28" i="1" s="1"/>
  <c r="C27" i="1" l="1"/>
</calcChain>
</file>

<file path=xl/sharedStrings.xml><?xml version="1.0" encoding="utf-8"?>
<sst xmlns="http://schemas.openxmlformats.org/spreadsheetml/2006/main" count="1116" uniqueCount="86">
  <si>
    <t>November 2023</t>
  </si>
  <si>
    <t>December 2023</t>
  </si>
  <si>
    <t>January 2024</t>
  </si>
  <si>
    <t>Feburary 2024</t>
  </si>
  <si>
    <t>March 2024</t>
  </si>
  <si>
    <t>April 2024</t>
  </si>
  <si>
    <t>May 2024</t>
  </si>
  <si>
    <t>July 2024</t>
  </si>
  <si>
    <t>June 2024</t>
  </si>
  <si>
    <t>Ta Chey River (Protected Forest)</t>
  </si>
  <si>
    <t>AO1</t>
  </si>
  <si>
    <t>Prek Sar</t>
  </si>
  <si>
    <t>AO2</t>
  </si>
  <si>
    <t>Arai Village</t>
  </si>
  <si>
    <t>AO3</t>
  </si>
  <si>
    <t>Stung Oda</t>
  </si>
  <si>
    <t>Ta Say River (Protected Forest)</t>
  </si>
  <si>
    <t>TS1</t>
  </si>
  <si>
    <t>Knaong Bat Sa</t>
  </si>
  <si>
    <t>TS2</t>
  </si>
  <si>
    <t>Stung Ta Say Camp</t>
  </si>
  <si>
    <t>TS3</t>
  </si>
  <si>
    <t>Kronomh Village</t>
  </si>
  <si>
    <t>Pursat River (Anthropogenic Landscape)</t>
  </si>
  <si>
    <t>TS4</t>
  </si>
  <si>
    <t>Dam5</t>
  </si>
  <si>
    <t>P1</t>
  </si>
  <si>
    <t>Tang Rang Bridge</t>
  </si>
  <si>
    <t>P2</t>
  </si>
  <si>
    <t>Opreil Bridge</t>
  </si>
  <si>
    <t>P3</t>
  </si>
  <si>
    <t>Kravanh Bridge</t>
  </si>
  <si>
    <t>P4</t>
  </si>
  <si>
    <t>Before Pursat</t>
  </si>
  <si>
    <t>Device ID</t>
  </si>
  <si>
    <t>Locality</t>
  </si>
  <si>
    <t>Site ID</t>
  </si>
  <si>
    <t>Site Name</t>
  </si>
  <si>
    <t>CI02</t>
  </si>
  <si>
    <t>CI14</t>
  </si>
  <si>
    <t>CI01</t>
  </si>
  <si>
    <t>CI13</t>
  </si>
  <si>
    <t>CI05</t>
  </si>
  <si>
    <t>CI17</t>
  </si>
  <si>
    <t>CC12</t>
  </si>
  <si>
    <t>CI12</t>
  </si>
  <si>
    <t>CC11</t>
  </si>
  <si>
    <t>CI11</t>
  </si>
  <si>
    <t>CC07</t>
  </si>
  <si>
    <t>CI07</t>
  </si>
  <si>
    <t>CI16</t>
  </si>
  <si>
    <t>CI04</t>
  </si>
  <si>
    <t>CC08</t>
  </si>
  <si>
    <t>CI08</t>
  </si>
  <si>
    <t>CC09</t>
  </si>
  <si>
    <t>CI09</t>
  </si>
  <si>
    <t>CI03+CI10</t>
  </si>
  <si>
    <t>CI15+CC01</t>
  </si>
  <si>
    <t>Stolen</t>
  </si>
  <si>
    <t>Burnt</t>
  </si>
  <si>
    <t>CI18+CI9</t>
  </si>
  <si>
    <t>CI06+CI20</t>
  </si>
  <si>
    <t>Stolen - replaced</t>
  </si>
  <si>
    <t>-</t>
  </si>
  <si>
    <t>Deploy / End</t>
  </si>
  <si>
    <t>24HR</t>
  </si>
  <si>
    <t>Indices Gen.</t>
  </si>
  <si>
    <t>x</t>
  </si>
  <si>
    <t>0</t>
  </si>
  <si>
    <t>Days</t>
  </si>
  <si>
    <t>Files / Mins</t>
  </si>
  <si>
    <t>Hours</t>
  </si>
  <si>
    <t>Total Counts:</t>
  </si>
  <si>
    <t>RealCount</t>
  </si>
  <si>
    <t>Files / mins</t>
  </si>
  <si>
    <t xml:space="preserve"> </t>
  </si>
  <si>
    <t>Concatenated</t>
  </si>
  <si>
    <t>Cleaned</t>
  </si>
  <si>
    <t>3</t>
  </si>
  <si>
    <t>Strahler</t>
  </si>
  <si>
    <t>1</t>
  </si>
  <si>
    <t>4</t>
  </si>
  <si>
    <t>5</t>
  </si>
  <si>
    <t>6</t>
  </si>
  <si>
    <t>7</t>
  </si>
  <si>
    <t>Loaded for Analyses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</si>
</sst>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6E0D3"/>
        <bgColor indexed="64"/>
      </patternFill>
    </fill>
    <fill>
      <patternFill patternType="solid">
        <fgColor rgb="FF0DB4AE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096AF"/>
        <bgColor indexed="64"/>
      </patternFill>
    </fill>
    <fill>
      <patternFill patternType="solid">
        <fgColor rgb="FFA6788D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4CD6C"/>
        <bgColor indexed="64"/>
      </patternFill>
    </fill>
    <fill>
      <patternFill patternType="solid">
        <fgColor rgb="FFA5CC2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4437C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/>
      </right>
      <top/>
      <bottom/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medium">
        <color theme="1"/>
      </bottom>
      <diagonal/>
    </border>
    <border>
      <left style="thin">
        <color theme="1" tint="0.499984740745262"/>
      </left>
      <right style="medium">
        <color theme="1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2" borderId="0" xfId="0" applyNumberFormat="1" applyFill="1"/>
    <xf numFmtId="0" fontId="0" fillId="4" borderId="0" xfId="0" applyFill="1"/>
    <xf numFmtId="0" fontId="0" fillId="6" borderId="8" xfId="0" applyFill="1" applyBorder="1"/>
    <xf numFmtId="0" fontId="0" fillId="5" borderId="8" xfId="0" applyFill="1" applyBorder="1"/>
    <xf numFmtId="49" fontId="0" fillId="10" borderId="8" xfId="0" applyNumberFormat="1" applyFill="1" applyBorder="1"/>
    <xf numFmtId="49" fontId="0" fillId="6" borderId="8" xfId="0" applyNumberFormat="1" applyFill="1" applyBorder="1"/>
    <xf numFmtId="49" fontId="0" fillId="5" borderId="8" xfId="0" applyNumberFormat="1" applyFill="1" applyBorder="1"/>
    <xf numFmtId="0" fontId="0" fillId="3" borderId="17" xfId="0" applyFill="1" applyBorder="1"/>
    <xf numFmtId="49" fontId="0" fillId="10" borderId="18" xfId="0" applyNumberFormat="1" applyFill="1" applyBorder="1"/>
    <xf numFmtId="49" fontId="0" fillId="9" borderId="8" xfId="0" applyNumberFormat="1" applyFill="1" applyBorder="1"/>
    <xf numFmtId="49" fontId="0" fillId="8" borderId="8" xfId="0" applyNumberFormat="1" applyFill="1" applyBorder="1"/>
    <xf numFmtId="49" fontId="0" fillId="0" borderId="11" xfId="0" applyNumberFormat="1" applyBorder="1"/>
    <xf numFmtId="49" fontId="0" fillId="10" borderId="13" xfId="0" applyNumberFormat="1" applyFill="1" applyBorder="1"/>
    <xf numFmtId="49" fontId="0" fillId="6" borderId="13" xfId="0" applyNumberFormat="1" applyFill="1" applyBorder="1"/>
    <xf numFmtId="49" fontId="0" fillId="5" borderId="13" xfId="0" applyNumberFormat="1" applyFill="1" applyBorder="1"/>
    <xf numFmtId="49" fontId="0" fillId="10" borderId="19" xfId="0" applyNumberFormat="1" applyFill="1" applyBorder="1"/>
    <xf numFmtId="49" fontId="0" fillId="10" borderId="6" xfId="0" applyNumberFormat="1" applyFill="1" applyBorder="1"/>
    <xf numFmtId="49" fontId="0" fillId="6" borderId="6" xfId="0" applyNumberFormat="1" applyFill="1" applyBorder="1"/>
    <xf numFmtId="49" fontId="0" fillId="7" borderId="6" xfId="0" applyNumberFormat="1" applyFill="1" applyBorder="1"/>
    <xf numFmtId="49" fontId="0" fillId="10" borderId="20" xfId="0" applyNumberFormat="1" applyFill="1" applyBorder="1"/>
    <xf numFmtId="49" fontId="0" fillId="0" borderId="4" xfId="0" applyNumberFormat="1" applyBorder="1"/>
    <xf numFmtId="49" fontId="0" fillId="0" borderId="14" xfId="0" applyNumberFormat="1" applyBorder="1"/>
    <xf numFmtId="49" fontId="0" fillId="9" borderId="13" xfId="0" applyNumberFormat="1" applyFill="1" applyBorder="1"/>
    <xf numFmtId="49" fontId="0" fillId="8" borderId="13" xfId="0" applyNumberFormat="1" applyFill="1" applyBorder="1"/>
    <xf numFmtId="49" fontId="0" fillId="10" borderId="16" xfId="0" applyNumberFormat="1" applyFill="1" applyBorder="1"/>
    <xf numFmtId="49" fontId="0" fillId="10" borderId="15" xfId="0" applyNumberFormat="1" applyFill="1" applyBorder="1"/>
    <xf numFmtId="49" fontId="0" fillId="0" borderId="10" xfId="0" applyNumberFormat="1" applyBorder="1"/>
    <xf numFmtId="49" fontId="0" fillId="0" borderId="5" xfId="0" applyNumberFormat="1" applyBorder="1"/>
    <xf numFmtId="0" fontId="0" fillId="12" borderId="8" xfId="0" applyFill="1" applyBorder="1"/>
    <xf numFmtId="0" fontId="0" fillId="11" borderId="0" xfId="0" applyFill="1"/>
    <xf numFmtId="49" fontId="0" fillId="0" borderId="2" xfId="0" applyNumberFormat="1" applyBorder="1" applyAlignment="1">
      <alignment horizontal="center"/>
    </xf>
    <xf numFmtId="0" fontId="0" fillId="13" borderId="0" xfId="0" applyFill="1"/>
    <xf numFmtId="49" fontId="0" fillId="13" borderId="8" xfId="0" applyNumberFormat="1" applyFill="1" applyBorder="1"/>
    <xf numFmtId="49" fontId="0" fillId="13" borderId="13" xfId="0" applyNumberFormat="1" applyFill="1" applyBorder="1"/>
    <xf numFmtId="49" fontId="0" fillId="13" borderId="6" xfId="0" applyNumberFormat="1" applyFill="1" applyBorder="1"/>
    <xf numFmtId="49" fontId="0" fillId="14" borderId="8" xfId="0" applyNumberFormat="1" applyFill="1" applyBorder="1"/>
    <xf numFmtId="49" fontId="0" fillId="14" borderId="13" xfId="0" applyNumberFormat="1" applyFill="1" applyBorder="1"/>
    <xf numFmtId="49" fontId="0" fillId="14" borderId="6" xfId="0" applyNumberFormat="1" applyFill="1" applyBorder="1"/>
    <xf numFmtId="0" fontId="0" fillId="14" borderId="0" xfId="0" applyFill="1"/>
    <xf numFmtId="49" fontId="0" fillId="15" borderId="0" xfId="0" applyNumberFormat="1" applyFill="1"/>
    <xf numFmtId="49" fontId="0" fillId="11" borderId="8" xfId="0" applyNumberFormat="1" applyFill="1" applyBorder="1"/>
    <xf numFmtId="49" fontId="0" fillId="0" borderId="23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4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17" xfId="0" applyNumberForma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7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49" fontId="0" fillId="0" borderId="22" xfId="0" applyNumberFormat="1" applyBorder="1" applyAlignment="1">
      <alignment horizontal="center" wrapText="1"/>
    </xf>
    <xf numFmtId="49" fontId="0" fillId="0" borderId="21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0" fillId="0" borderId="1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4CD6C"/>
      <color rgb="FFC4437C"/>
      <color rgb="FFB86191"/>
      <color rgb="FFC2437A"/>
      <color rgb="FF76E0D3"/>
      <color rgb="FFA5CC2C"/>
      <color rgb="FF0DB4AE"/>
      <color rgb="FF96CC33"/>
      <color rgb="FF00FA00"/>
      <color rgb="FF00F7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33676</xdr:colOff>
      <xdr:row>31</xdr:row>
      <xdr:rowOff>140342</xdr:rowOff>
    </xdr:from>
    <xdr:to>
      <xdr:col>16</xdr:col>
      <xdr:colOff>34036</xdr:colOff>
      <xdr:row>31</xdr:row>
      <xdr:rowOff>143222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14:cNvPr>
            <xdr14:cNvContentPartPr/>
          </xdr14:nvContentPartPr>
          <xdr14:nvPr macro=""/>
          <xdr14:xfrm>
            <a:off x="6476040" y="6698160"/>
            <a:ext cx="360" cy="288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718F99AF-B423-68D0-851F-B6B372EA49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67040" y="66895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71</xdr:col>
      <xdr:colOff>85596</xdr:colOff>
      <xdr:row>29</xdr:row>
      <xdr:rowOff>68538</xdr:rowOff>
    </xdr:from>
    <xdr:to>
      <xdr:col>71</xdr:col>
      <xdr:colOff>85956</xdr:colOff>
      <xdr:row>29</xdr:row>
      <xdr:rowOff>68898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14:cNvPr>
            <xdr14:cNvContentPartPr/>
          </xdr14:nvContentPartPr>
          <xdr14:nvPr macro=""/>
          <xdr14:xfrm>
            <a:off x="19227960" y="621072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6D5BEA7-3D55-4F7E-A097-146CDD2DE8E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218960" y="62017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849960</xdr:colOff>
      <xdr:row>31</xdr:row>
      <xdr:rowOff>120142</xdr:rowOff>
    </xdr:from>
    <xdr:to>
      <xdr:col>0</xdr:col>
      <xdr:colOff>850320</xdr:colOff>
      <xdr:row>31</xdr:row>
      <xdr:rowOff>123022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14:cNvPr>
            <xdr14:cNvContentPartPr/>
          </xdr14:nvContentPartPr>
          <xdr14:nvPr macro=""/>
          <xdr14:xfrm>
            <a:off x="849960" y="6042960"/>
            <a:ext cx="360" cy="2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04B44FB4-60B4-6506-D223-A23884DA99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40960" y="6034320"/>
              <a:ext cx="18000" cy="20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1.541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8 24575,'0'-4'0,"0"1"0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24.72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15T17:32:30.20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7 24575,'0'-3'0,"0"0"0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91D1-EE9D-8347-A062-15F4EC811B90}">
  <sheetPr codeName="Sheet1"/>
  <dimension ref="A1:GH36"/>
  <sheetViews>
    <sheetView tabSelected="1" zoomScaleNormal="100" workbookViewId="0">
      <pane xSplit="5" ySplit="1" topLeftCell="BG2" activePane="bottomRight" state="frozen"/>
      <selection pane="topRight" activeCell="E1" sqref="E1"/>
      <selection pane="bottomLeft" activeCell="A2" sqref="A2"/>
      <selection pane="bottomRight" activeCell="BH27" sqref="BH27"/>
    </sheetView>
  </sheetViews>
  <sheetFormatPr baseColWidth="10" defaultRowHeight="16" x14ac:dyDescent="0.2"/>
  <cols>
    <col min="1" max="1" width="14.5" customWidth="1"/>
    <col min="2" max="2" width="12.83203125" bestFit="1" customWidth="1"/>
    <col min="3" max="3" width="7.83203125" customWidth="1"/>
    <col min="4" max="4" width="15.6640625" customWidth="1"/>
    <col min="5" max="5" width="10.1640625" customWidth="1"/>
    <col min="6" max="99" width="3" customWidth="1"/>
    <col min="100" max="100" width="57" customWidth="1"/>
    <col min="101" max="137" width="3" customWidth="1"/>
    <col min="138" max="138" width="13.33203125" customWidth="1"/>
    <col min="139" max="190" width="3" customWidth="1"/>
  </cols>
  <sheetData>
    <row r="1" spans="1:190" s="1" customFormat="1" ht="16" customHeight="1" x14ac:dyDescent="0.2">
      <c r="A1" s="57" t="s">
        <v>35</v>
      </c>
      <c r="B1" s="54" t="s">
        <v>36</v>
      </c>
      <c r="C1" s="34"/>
      <c r="D1" s="54" t="s">
        <v>37</v>
      </c>
      <c r="E1" s="56" t="s">
        <v>34</v>
      </c>
      <c r="F1" s="51" t="s">
        <v>0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49" t="s">
        <v>1</v>
      </c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51" t="s">
        <v>2</v>
      </c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49" t="s">
        <v>3</v>
      </c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" t="s">
        <v>4</v>
      </c>
      <c r="CW1" s="49" t="s">
        <v>5</v>
      </c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51" t="s">
        <v>6</v>
      </c>
      <c r="EB1" s="51"/>
      <c r="EC1" s="51"/>
      <c r="ED1" s="51"/>
      <c r="EE1" s="51"/>
      <c r="EF1" s="51"/>
      <c r="EG1" s="51"/>
      <c r="EH1" s="4"/>
      <c r="EI1" s="48" t="s">
        <v>8</v>
      </c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9" t="s">
        <v>7</v>
      </c>
      <c r="FN1" s="49"/>
      <c r="FO1" s="49"/>
      <c r="FP1" s="49"/>
      <c r="FQ1" s="49"/>
      <c r="FR1" s="49"/>
      <c r="FS1" s="49"/>
      <c r="FT1" s="49"/>
      <c r="FU1" s="49"/>
      <c r="FV1" s="49"/>
      <c r="FW1" s="49"/>
      <c r="FX1" s="49"/>
      <c r="FY1" s="49"/>
      <c r="FZ1" s="49"/>
      <c r="GA1" s="49"/>
      <c r="GB1" s="49"/>
      <c r="GC1" s="49"/>
      <c r="GD1" s="49"/>
      <c r="GE1" s="49"/>
      <c r="GF1" s="49"/>
      <c r="GG1" s="49"/>
      <c r="GH1" s="50"/>
    </row>
    <row r="2" spans="1:190" x14ac:dyDescent="0.2">
      <c r="A2" s="57"/>
      <c r="B2" s="54"/>
      <c r="C2" s="34" t="s">
        <v>79</v>
      </c>
      <c r="D2" s="54"/>
      <c r="E2" s="56"/>
      <c r="F2" s="2">
        <v>16</v>
      </c>
      <c r="G2" s="2">
        <v>17</v>
      </c>
      <c r="H2" s="2">
        <v>18</v>
      </c>
      <c r="I2" s="2">
        <v>19</v>
      </c>
      <c r="J2" s="2">
        <v>20</v>
      </c>
      <c r="K2" s="2">
        <v>21</v>
      </c>
      <c r="L2" s="2">
        <v>22</v>
      </c>
      <c r="M2" s="2">
        <v>23</v>
      </c>
      <c r="N2" s="2">
        <v>24</v>
      </c>
      <c r="O2" s="2">
        <v>25</v>
      </c>
      <c r="P2" s="2">
        <v>26</v>
      </c>
      <c r="Q2" s="2">
        <v>27</v>
      </c>
      <c r="R2" s="2">
        <v>28</v>
      </c>
      <c r="S2" s="2">
        <v>29</v>
      </c>
      <c r="T2" s="2">
        <v>30</v>
      </c>
      <c r="U2" s="3">
        <v>1</v>
      </c>
      <c r="V2" s="3">
        <v>2</v>
      </c>
      <c r="W2" s="3">
        <v>3</v>
      </c>
      <c r="X2" s="3">
        <v>4</v>
      </c>
      <c r="Y2" s="3">
        <v>5</v>
      </c>
      <c r="Z2" s="3">
        <v>6</v>
      </c>
      <c r="AA2" s="3">
        <v>7</v>
      </c>
      <c r="AB2" s="3">
        <v>8</v>
      </c>
      <c r="AC2" s="3">
        <v>9</v>
      </c>
      <c r="AD2" s="3">
        <v>10</v>
      </c>
      <c r="AE2" s="3">
        <v>11</v>
      </c>
      <c r="AF2" s="3">
        <v>12</v>
      </c>
      <c r="AG2" s="3">
        <v>13</v>
      </c>
      <c r="AH2" s="3">
        <v>14</v>
      </c>
      <c r="AI2" s="3">
        <v>15</v>
      </c>
      <c r="AJ2" s="3">
        <v>16</v>
      </c>
      <c r="AK2" s="3">
        <v>17</v>
      </c>
      <c r="AL2" s="3">
        <v>18</v>
      </c>
      <c r="AM2" s="3">
        <v>19</v>
      </c>
      <c r="AN2" s="3">
        <v>20</v>
      </c>
      <c r="AO2" s="3">
        <v>21</v>
      </c>
      <c r="AP2" s="3">
        <v>22</v>
      </c>
      <c r="AQ2" s="3">
        <v>23</v>
      </c>
      <c r="AR2" s="3">
        <v>24</v>
      </c>
      <c r="AS2" s="3">
        <v>25</v>
      </c>
      <c r="AT2" s="3">
        <v>26</v>
      </c>
      <c r="AU2" s="3">
        <v>27</v>
      </c>
      <c r="AV2" s="3">
        <v>28</v>
      </c>
      <c r="AW2" s="3">
        <v>29</v>
      </c>
      <c r="AX2" s="3">
        <v>30</v>
      </c>
      <c r="AY2" s="3">
        <v>31</v>
      </c>
      <c r="AZ2" s="2">
        <v>1</v>
      </c>
      <c r="BA2" s="2">
        <v>2</v>
      </c>
      <c r="BB2" s="2">
        <v>3</v>
      </c>
      <c r="BC2" s="2">
        <v>4</v>
      </c>
      <c r="BD2" s="2">
        <v>5</v>
      </c>
      <c r="BE2" s="2">
        <v>6</v>
      </c>
      <c r="BF2" s="2">
        <v>7</v>
      </c>
      <c r="BG2" s="2">
        <v>8</v>
      </c>
      <c r="BH2" s="2">
        <v>9</v>
      </c>
      <c r="BI2" s="2">
        <v>10</v>
      </c>
      <c r="BJ2" s="2">
        <v>11</v>
      </c>
      <c r="BK2" s="2">
        <v>12</v>
      </c>
      <c r="BL2" s="2">
        <v>13</v>
      </c>
      <c r="BM2" s="2">
        <v>14</v>
      </c>
      <c r="BN2" s="2">
        <v>15</v>
      </c>
      <c r="BO2" s="2">
        <v>16</v>
      </c>
      <c r="BP2" s="2">
        <v>17</v>
      </c>
      <c r="BQ2" s="2">
        <v>18</v>
      </c>
      <c r="BR2" s="2">
        <v>19</v>
      </c>
      <c r="BS2" s="2">
        <v>20</v>
      </c>
      <c r="BT2" s="2">
        <v>21</v>
      </c>
      <c r="BU2" s="2">
        <v>22</v>
      </c>
      <c r="BV2" s="2">
        <v>23</v>
      </c>
      <c r="BW2" s="2">
        <v>24</v>
      </c>
      <c r="BX2" s="2">
        <v>25</v>
      </c>
      <c r="BY2" s="2">
        <v>26</v>
      </c>
      <c r="BZ2" s="2">
        <v>27</v>
      </c>
      <c r="CA2" s="2">
        <v>28</v>
      </c>
      <c r="CB2" s="2">
        <v>29</v>
      </c>
      <c r="CC2" s="2">
        <v>30</v>
      </c>
      <c r="CD2" s="2">
        <v>31</v>
      </c>
      <c r="CE2" s="3">
        <v>1</v>
      </c>
      <c r="CF2" s="3">
        <v>2</v>
      </c>
      <c r="CG2" s="3">
        <v>3</v>
      </c>
      <c r="CH2" s="3">
        <v>4</v>
      </c>
      <c r="CI2" s="3">
        <v>5</v>
      </c>
      <c r="CJ2" s="3">
        <v>6</v>
      </c>
      <c r="CK2" s="3">
        <v>7</v>
      </c>
      <c r="CL2" s="3">
        <v>8</v>
      </c>
      <c r="CM2" s="3">
        <v>9</v>
      </c>
      <c r="CN2" s="3">
        <v>10</v>
      </c>
      <c r="CO2" s="3">
        <v>11</v>
      </c>
      <c r="CP2" s="3">
        <v>12</v>
      </c>
      <c r="CQ2" s="3">
        <v>13</v>
      </c>
      <c r="CR2" s="3">
        <v>14</v>
      </c>
      <c r="CS2" s="3">
        <v>15</v>
      </c>
      <c r="CT2" s="3">
        <v>16</v>
      </c>
      <c r="CU2" s="3">
        <v>17</v>
      </c>
      <c r="CV2" s="2"/>
      <c r="CW2" s="3">
        <v>1</v>
      </c>
      <c r="CX2" s="3">
        <v>2</v>
      </c>
      <c r="CY2" s="3">
        <v>3</v>
      </c>
      <c r="CZ2" s="3">
        <v>4</v>
      </c>
      <c r="DA2" s="3">
        <v>5</v>
      </c>
      <c r="DB2" s="3">
        <v>6</v>
      </c>
      <c r="DC2" s="3">
        <v>7</v>
      </c>
      <c r="DD2" s="3">
        <v>8</v>
      </c>
      <c r="DE2" s="3">
        <v>9</v>
      </c>
      <c r="DF2" s="3">
        <v>10</v>
      </c>
      <c r="DG2" s="3">
        <v>11</v>
      </c>
      <c r="DH2" s="3">
        <v>12</v>
      </c>
      <c r="DI2" s="3">
        <v>13</v>
      </c>
      <c r="DJ2" s="3">
        <v>14</v>
      </c>
      <c r="DK2" s="3">
        <v>15</v>
      </c>
      <c r="DL2" s="3">
        <v>16</v>
      </c>
      <c r="DM2" s="3">
        <v>17</v>
      </c>
      <c r="DN2" s="3">
        <v>18</v>
      </c>
      <c r="DO2" s="3">
        <v>19</v>
      </c>
      <c r="DP2" s="3">
        <v>20</v>
      </c>
      <c r="DQ2" s="3">
        <v>21</v>
      </c>
      <c r="DR2" s="3">
        <v>22</v>
      </c>
      <c r="DS2" s="3">
        <v>23</v>
      </c>
      <c r="DT2" s="3">
        <v>24</v>
      </c>
      <c r="DU2" s="3">
        <v>25</v>
      </c>
      <c r="DV2" s="3">
        <v>26</v>
      </c>
      <c r="DW2" s="3">
        <v>27</v>
      </c>
      <c r="DX2" s="3">
        <v>28</v>
      </c>
      <c r="DY2" s="3">
        <v>29</v>
      </c>
      <c r="DZ2" s="3">
        <v>30</v>
      </c>
      <c r="EA2" s="2">
        <v>1</v>
      </c>
      <c r="EB2" s="2">
        <v>2</v>
      </c>
      <c r="EC2" s="2">
        <v>3</v>
      </c>
      <c r="ED2" s="2">
        <v>4</v>
      </c>
      <c r="EE2" s="2">
        <v>5</v>
      </c>
      <c r="EF2" s="2">
        <v>7</v>
      </c>
      <c r="EG2" s="2">
        <v>8</v>
      </c>
      <c r="EH2" s="2"/>
      <c r="EI2" s="5">
        <v>1</v>
      </c>
      <c r="EJ2" s="5">
        <v>2</v>
      </c>
      <c r="EK2" s="5">
        <v>3</v>
      </c>
      <c r="EL2" s="5">
        <v>4</v>
      </c>
      <c r="EM2" s="5">
        <v>5</v>
      </c>
      <c r="EN2" s="5">
        <v>6</v>
      </c>
      <c r="EO2" s="5">
        <v>7</v>
      </c>
      <c r="EP2" s="5">
        <v>8</v>
      </c>
      <c r="EQ2" s="5">
        <v>9</v>
      </c>
      <c r="ER2" s="5">
        <v>10</v>
      </c>
      <c r="ES2" s="5">
        <v>11</v>
      </c>
      <c r="ET2" s="5">
        <v>12</v>
      </c>
      <c r="EU2" s="5">
        <v>13</v>
      </c>
      <c r="EV2" s="5">
        <v>14</v>
      </c>
      <c r="EW2" s="5">
        <v>15</v>
      </c>
      <c r="EX2" s="5">
        <v>16</v>
      </c>
      <c r="EY2" s="5">
        <v>17</v>
      </c>
      <c r="EZ2" s="5">
        <v>18</v>
      </c>
      <c r="FA2" s="5">
        <v>19</v>
      </c>
      <c r="FB2" s="5">
        <v>20</v>
      </c>
      <c r="FC2" s="5">
        <v>21</v>
      </c>
      <c r="FD2" s="5">
        <v>22</v>
      </c>
      <c r="FE2" s="5">
        <v>23</v>
      </c>
      <c r="FF2" s="5">
        <v>24</v>
      </c>
      <c r="FG2" s="5">
        <v>25</v>
      </c>
      <c r="FH2" s="5">
        <v>26</v>
      </c>
      <c r="FI2" s="5">
        <v>27</v>
      </c>
      <c r="FJ2" s="5">
        <v>28</v>
      </c>
      <c r="FK2" s="5">
        <v>29</v>
      </c>
      <c r="FL2" s="5">
        <v>30</v>
      </c>
      <c r="FM2" s="3">
        <v>1</v>
      </c>
      <c r="FN2" s="3">
        <v>2</v>
      </c>
      <c r="FO2" s="3">
        <v>3</v>
      </c>
      <c r="FP2" s="3">
        <v>4</v>
      </c>
      <c r="FQ2" s="3">
        <v>5</v>
      </c>
      <c r="FR2" s="3">
        <v>6</v>
      </c>
      <c r="FS2" s="3">
        <v>7</v>
      </c>
      <c r="FT2" s="3">
        <v>8</v>
      </c>
      <c r="FU2" s="3">
        <v>9</v>
      </c>
      <c r="FV2" s="3">
        <v>10</v>
      </c>
      <c r="FW2" s="3">
        <v>11</v>
      </c>
      <c r="FX2" s="3">
        <v>12</v>
      </c>
      <c r="FY2" s="3">
        <v>13</v>
      </c>
      <c r="FZ2" s="3">
        <v>14</v>
      </c>
      <c r="GA2" s="3">
        <v>15</v>
      </c>
      <c r="GB2" s="3">
        <v>16</v>
      </c>
      <c r="GC2" s="3">
        <v>17</v>
      </c>
      <c r="GD2" s="3">
        <v>18</v>
      </c>
      <c r="GE2" s="3">
        <v>19</v>
      </c>
      <c r="GF2" s="3">
        <v>20</v>
      </c>
      <c r="GG2" s="3">
        <v>21</v>
      </c>
      <c r="GH2" s="11">
        <v>22</v>
      </c>
    </row>
    <row r="3" spans="1:190" s="1" customFormat="1" ht="16" customHeight="1" x14ac:dyDescent="0.2">
      <c r="A3" s="52" t="s">
        <v>9</v>
      </c>
      <c r="B3" s="54" t="s">
        <v>10</v>
      </c>
      <c r="C3" s="58" t="s">
        <v>80</v>
      </c>
      <c r="D3" s="55" t="s">
        <v>11</v>
      </c>
      <c r="E3" s="1" t="s">
        <v>56</v>
      </c>
      <c r="F3" s="9">
        <v>24</v>
      </c>
      <c r="G3" s="10">
        <v>24</v>
      </c>
      <c r="H3" s="9">
        <v>24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9" t="s">
        <v>67</v>
      </c>
      <c r="BJ3" s="39" t="s">
        <v>78</v>
      </c>
      <c r="BK3" s="39" t="s">
        <v>78</v>
      </c>
      <c r="BL3" s="39" t="s">
        <v>78</v>
      </c>
      <c r="BM3" s="39" t="s">
        <v>78</v>
      </c>
      <c r="BN3" s="39" t="s">
        <v>78</v>
      </c>
      <c r="BO3" s="39" t="s">
        <v>78</v>
      </c>
      <c r="BP3" s="39" t="s">
        <v>78</v>
      </c>
      <c r="BQ3" s="39" t="s">
        <v>78</v>
      </c>
      <c r="BR3" s="39" t="s">
        <v>78</v>
      </c>
      <c r="BS3" s="39" t="s">
        <v>78</v>
      </c>
      <c r="BT3" s="36" t="s">
        <v>78</v>
      </c>
      <c r="BU3" s="9" t="s">
        <v>67</v>
      </c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 t="s">
        <v>63</v>
      </c>
      <c r="CW3" s="8"/>
      <c r="CX3" s="8"/>
      <c r="CY3" s="9" t="s">
        <v>67</v>
      </c>
      <c r="CZ3" s="36" t="s">
        <v>78</v>
      </c>
      <c r="DA3" s="36" t="s">
        <v>78</v>
      </c>
      <c r="DB3" s="36" t="s">
        <v>78</v>
      </c>
      <c r="DC3" s="36" t="s">
        <v>78</v>
      </c>
      <c r="DD3" s="36" t="s">
        <v>78</v>
      </c>
      <c r="DE3" s="36" t="s">
        <v>78</v>
      </c>
      <c r="DF3" s="36" t="s">
        <v>78</v>
      </c>
      <c r="DG3" s="36" t="s">
        <v>78</v>
      </c>
      <c r="DH3" s="36" t="s">
        <v>78</v>
      </c>
      <c r="DI3" s="36" t="s">
        <v>78</v>
      </c>
      <c r="DJ3" s="36" t="s">
        <v>78</v>
      </c>
      <c r="DK3" s="9" t="s">
        <v>67</v>
      </c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9" t="s">
        <v>67</v>
      </c>
      <c r="EQ3" s="36" t="s">
        <v>78</v>
      </c>
      <c r="ER3" s="36" t="s">
        <v>78</v>
      </c>
      <c r="ES3" s="36" t="s">
        <v>78</v>
      </c>
      <c r="ET3" s="36" t="s">
        <v>78</v>
      </c>
      <c r="EU3" s="36" t="s">
        <v>78</v>
      </c>
      <c r="EV3" s="36" t="s">
        <v>78</v>
      </c>
      <c r="EW3" s="36" t="s">
        <v>78</v>
      </c>
      <c r="EX3" s="36" t="s">
        <v>78</v>
      </c>
      <c r="EY3" s="36" t="s">
        <v>78</v>
      </c>
      <c r="EZ3" s="36" t="s">
        <v>78</v>
      </c>
      <c r="FA3" s="36" t="s">
        <v>78</v>
      </c>
      <c r="FB3" s="9" t="s">
        <v>67</v>
      </c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12"/>
    </row>
    <row r="4" spans="1:190" s="1" customFormat="1" ht="17" customHeight="1" x14ac:dyDescent="0.2">
      <c r="A4" s="52"/>
      <c r="B4" s="54"/>
      <c r="C4" s="58"/>
      <c r="D4" s="55"/>
      <c r="E4" s="1" t="s">
        <v>57</v>
      </c>
      <c r="F4" s="9">
        <v>24</v>
      </c>
      <c r="G4" s="10">
        <v>24</v>
      </c>
      <c r="H4" s="10">
        <v>24</v>
      </c>
      <c r="I4" s="9">
        <v>24</v>
      </c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9" t="s">
        <v>67</v>
      </c>
      <c r="AJ4" s="10">
        <v>0</v>
      </c>
      <c r="AK4" s="10">
        <v>0</v>
      </c>
      <c r="AL4" s="10">
        <v>0</v>
      </c>
      <c r="AM4" s="10">
        <v>0</v>
      </c>
      <c r="AN4" s="10">
        <v>0</v>
      </c>
      <c r="AO4" s="9" t="s">
        <v>67</v>
      </c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9" t="s">
        <v>67</v>
      </c>
      <c r="BJ4" s="39" t="s">
        <v>78</v>
      </c>
      <c r="BK4" s="39" t="s">
        <v>78</v>
      </c>
      <c r="BL4" s="39" t="s">
        <v>78</v>
      </c>
      <c r="BM4" s="39" t="s">
        <v>78</v>
      </c>
      <c r="BN4" s="39" t="s">
        <v>78</v>
      </c>
      <c r="BO4" s="39" t="s">
        <v>78</v>
      </c>
      <c r="BP4" s="39" t="s">
        <v>78</v>
      </c>
      <c r="BQ4" s="39" t="s">
        <v>78</v>
      </c>
      <c r="BR4" s="39" t="s">
        <v>78</v>
      </c>
      <c r="BS4" s="39" t="s">
        <v>78</v>
      </c>
      <c r="BT4" s="9" t="s">
        <v>67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 t="s">
        <v>63</v>
      </c>
      <c r="CW4" s="8"/>
      <c r="CX4" s="8"/>
      <c r="CY4" s="9" t="s">
        <v>67</v>
      </c>
      <c r="CZ4" s="36" t="s">
        <v>78</v>
      </c>
      <c r="DA4" s="36" t="s">
        <v>78</v>
      </c>
      <c r="DB4" s="36" t="s">
        <v>78</v>
      </c>
      <c r="DC4" s="36" t="s">
        <v>78</v>
      </c>
      <c r="DD4" s="36" t="s">
        <v>78</v>
      </c>
      <c r="DE4" s="36" t="s">
        <v>78</v>
      </c>
      <c r="DF4" s="36" t="s">
        <v>78</v>
      </c>
      <c r="DG4" s="36" t="s">
        <v>78</v>
      </c>
      <c r="DH4" s="36" t="s">
        <v>78</v>
      </c>
      <c r="DI4" s="36" t="s">
        <v>78</v>
      </c>
      <c r="DJ4" s="36" t="s">
        <v>78</v>
      </c>
      <c r="DK4" s="9" t="s">
        <v>67</v>
      </c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9" t="s">
        <v>67</v>
      </c>
      <c r="EQ4" s="36" t="s">
        <v>78</v>
      </c>
      <c r="ER4" s="36" t="s">
        <v>78</v>
      </c>
      <c r="ES4" s="36" t="s">
        <v>78</v>
      </c>
      <c r="ET4" s="36" t="s">
        <v>78</v>
      </c>
      <c r="EU4" s="36" t="s">
        <v>78</v>
      </c>
      <c r="EV4" s="36" t="s">
        <v>78</v>
      </c>
      <c r="EW4" s="36" t="s">
        <v>78</v>
      </c>
      <c r="EX4" s="36" t="s">
        <v>78</v>
      </c>
      <c r="EY4" s="36" t="s">
        <v>78</v>
      </c>
      <c r="EZ4" s="36" t="s">
        <v>78</v>
      </c>
      <c r="FA4" s="36" t="s">
        <v>78</v>
      </c>
      <c r="FB4" s="9" t="s">
        <v>67</v>
      </c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12"/>
    </row>
    <row r="5" spans="1:190" s="1" customFormat="1" ht="17" customHeight="1" x14ac:dyDescent="0.2">
      <c r="A5" s="52"/>
      <c r="B5" s="55" t="s">
        <v>12</v>
      </c>
      <c r="C5" s="46" t="s">
        <v>81</v>
      </c>
      <c r="D5" s="61" t="s">
        <v>13</v>
      </c>
      <c r="E5" s="1" t="s">
        <v>38</v>
      </c>
      <c r="F5" s="8"/>
      <c r="G5" s="8"/>
      <c r="H5" s="8"/>
      <c r="I5" s="8"/>
      <c r="J5" s="8"/>
      <c r="K5" s="9" t="s">
        <v>67</v>
      </c>
      <c r="L5" s="36" t="s">
        <v>78</v>
      </c>
      <c r="M5" s="39" t="s">
        <v>78</v>
      </c>
      <c r="N5" s="39" t="s">
        <v>78</v>
      </c>
      <c r="O5" s="39" t="s">
        <v>78</v>
      </c>
      <c r="P5" s="39" t="s">
        <v>78</v>
      </c>
      <c r="Q5" s="39" t="s">
        <v>78</v>
      </c>
      <c r="R5" s="39" t="s">
        <v>78</v>
      </c>
      <c r="S5" s="39" t="s">
        <v>78</v>
      </c>
      <c r="T5" s="36" t="s">
        <v>78</v>
      </c>
      <c r="U5" s="36" t="s">
        <v>78</v>
      </c>
      <c r="V5" s="36" t="s">
        <v>78</v>
      </c>
      <c r="W5" s="9" t="s">
        <v>67</v>
      </c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9" t="s">
        <v>67</v>
      </c>
      <c r="BK5" s="39" t="s">
        <v>78</v>
      </c>
      <c r="BL5" s="39" t="s">
        <v>78</v>
      </c>
      <c r="BM5" s="39" t="s">
        <v>78</v>
      </c>
      <c r="BN5" s="39" t="s">
        <v>78</v>
      </c>
      <c r="BO5" s="39" t="s">
        <v>78</v>
      </c>
      <c r="BP5" s="39" t="s">
        <v>78</v>
      </c>
      <c r="BQ5" s="39" t="s">
        <v>78</v>
      </c>
      <c r="BR5" s="39" t="s">
        <v>78</v>
      </c>
      <c r="BS5" s="39" t="s">
        <v>78</v>
      </c>
      <c r="BT5" s="39" t="s">
        <v>78</v>
      </c>
      <c r="BU5" s="36" t="s">
        <v>78</v>
      </c>
      <c r="BV5" s="36" t="s">
        <v>78</v>
      </c>
      <c r="BW5" s="36" t="s">
        <v>78</v>
      </c>
      <c r="BX5" s="36" t="s">
        <v>78</v>
      </c>
      <c r="BY5" s="36" t="s">
        <v>78</v>
      </c>
      <c r="BZ5" s="36" t="s">
        <v>78</v>
      </c>
      <c r="CA5" s="36" t="s">
        <v>78</v>
      </c>
      <c r="CB5" s="36" t="s">
        <v>78</v>
      </c>
      <c r="CC5" s="36" t="s">
        <v>78</v>
      </c>
      <c r="CD5" s="36" t="s">
        <v>78</v>
      </c>
      <c r="CE5" s="36" t="s">
        <v>78</v>
      </c>
      <c r="CF5" s="36" t="s">
        <v>78</v>
      </c>
      <c r="CG5" s="36" t="s">
        <v>78</v>
      </c>
      <c r="CH5" s="36" t="s">
        <v>78</v>
      </c>
      <c r="CI5" s="36" t="s">
        <v>78</v>
      </c>
      <c r="CJ5" s="36" t="s">
        <v>78</v>
      </c>
      <c r="CK5" s="9" t="s">
        <v>67</v>
      </c>
      <c r="CL5" s="8"/>
      <c r="CM5" s="8"/>
      <c r="CN5" s="8"/>
      <c r="CO5" s="8"/>
      <c r="CP5" s="8"/>
      <c r="CQ5" s="8"/>
      <c r="CR5" s="8"/>
      <c r="CS5" s="8"/>
      <c r="CT5" s="8"/>
      <c r="CU5" s="8"/>
      <c r="CV5" s="8" t="s">
        <v>63</v>
      </c>
      <c r="CW5" s="8"/>
      <c r="CX5" s="8"/>
      <c r="CY5" s="8"/>
      <c r="CZ5" s="9" t="s">
        <v>67</v>
      </c>
      <c r="DA5" s="36" t="s">
        <v>78</v>
      </c>
      <c r="DB5" s="36" t="s">
        <v>78</v>
      </c>
      <c r="DC5" s="36" t="s">
        <v>78</v>
      </c>
      <c r="DD5" s="36" t="s">
        <v>78</v>
      </c>
      <c r="DE5" s="36" t="s">
        <v>78</v>
      </c>
      <c r="DF5" s="36" t="s">
        <v>78</v>
      </c>
      <c r="DG5" s="36" t="s">
        <v>78</v>
      </c>
      <c r="DH5" s="36" t="s">
        <v>78</v>
      </c>
      <c r="DI5" s="36" t="s">
        <v>78</v>
      </c>
      <c r="DJ5" s="36" t="s">
        <v>78</v>
      </c>
      <c r="DK5" s="36" t="s">
        <v>78</v>
      </c>
      <c r="DL5" s="9" t="s">
        <v>67</v>
      </c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9" t="s">
        <v>67</v>
      </c>
      <c r="ET5" s="36" t="s">
        <v>78</v>
      </c>
      <c r="EU5" s="36" t="s">
        <v>78</v>
      </c>
      <c r="EV5" s="36" t="s">
        <v>78</v>
      </c>
      <c r="EW5" s="36" t="s">
        <v>78</v>
      </c>
      <c r="EX5" s="36" t="s">
        <v>78</v>
      </c>
      <c r="EY5" s="36" t="s">
        <v>78</v>
      </c>
      <c r="EZ5" s="36" t="s">
        <v>78</v>
      </c>
      <c r="FA5" s="36" t="s">
        <v>78</v>
      </c>
      <c r="FB5" s="36" t="s">
        <v>78</v>
      </c>
      <c r="FC5" s="36" t="s">
        <v>78</v>
      </c>
      <c r="FD5" s="36" t="s">
        <v>78</v>
      </c>
      <c r="FE5" s="36" t="s">
        <v>78</v>
      </c>
      <c r="FF5" s="36" t="s">
        <v>78</v>
      </c>
      <c r="FG5" s="36" t="s">
        <v>78</v>
      </c>
      <c r="FH5" s="36" t="s">
        <v>78</v>
      </c>
      <c r="FI5" s="36" t="s">
        <v>78</v>
      </c>
      <c r="FJ5" s="9" t="s">
        <v>67</v>
      </c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12"/>
    </row>
    <row r="6" spans="1:190" s="1" customFormat="1" ht="17" customHeight="1" x14ac:dyDescent="0.2">
      <c r="A6" s="52"/>
      <c r="B6" s="55"/>
      <c r="C6" s="46"/>
      <c r="D6" s="61"/>
      <c r="E6" s="1" t="s">
        <v>39</v>
      </c>
      <c r="F6" s="8"/>
      <c r="G6" s="8"/>
      <c r="H6" s="8"/>
      <c r="I6" s="8"/>
      <c r="J6" s="8"/>
      <c r="K6" s="9" t="s">
        <v>67</v>
      </c>
      <c r="L6" s="36" t="s">
        <v>78</v>
      </c>
      <c r="M6" s="39" t="s">
        <v>78</v>
      </c>
      <c r="N6" s="39" t="s">
        <v>78</v>
      </c>
      <c r="O6" s="39" t="s">
        <v>78</v>
      </c>
      <c r="P6" s="39" t="s">
        <v>78</v>
      </c>
      <c r="Q6" s="39" t="s">
        <v>78</v>
      </c>
      <c r="R6" s="39" t="s">
        <v>78</v>
      </c>
      <c r="S6" s="39" t="s">
        <v>78</v>
      </c>
      <c r="T6" s="36" t="s">
        <v>78</v>
      </c>
      <c r="U6" s="36" t="s">
        <v>78</v>
      </c>
      <c r="V6" s="36" t="s">
        <v>78</v>
      </c>
      <c r="W6" s="9" t="s">
        <v>67</v>
      </c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9" t="s">
        <v>67</v>
      </c>
      <c r="AN6" s="36" t="s">
        <v>78</v>
      </c>
      <c r="AO6" s="36" t="s">
        <v>78</v>
      </c>
      <c r="AP6" s="36" t="s">
        <v>78</v>
      </c>
      <c r="AQ6" s="36" t="s">
        <v>78</v>
      </c>
      <c r="AR6" s="36" t="s">
        <v>78</v>
      </c>
      <c r="AS6" s="36" t="s">
        <v>78</v>
      </c>
      <c r="AT6" s="36" t="s">
        <v>78</v>
      </c>
      <c r="AU6" s="36" t="s">
        <v>78</v>
      </c>
      <c r="AV6" s="36" t="s">
        <v>78</v>
      </c>
      <c r="AW6" s="36" t="s">
        <v>78</v>
      </c>
      <c r="AX6" s="36" t="s">
        <v>78</v>
      </c>
      <c r="AY6" s="39" t="s">
        <v>78</v>
      </c>
      <c r="AZ6" s="39" t="s">
        <v>78</v>
      </c>
      <c r="BA6" s="39" t="s">
        <v>78</v>
      </c>
      <c r="BB6" s="39" t="s">
        <v>78</v>
      </c>
      <c r="BC6" s="39" t="s">
        <v>78</v>
      </c>
      <c r="BD6" s="39" t="s">
        <v>78</v>
      </c>
      <c r="BE6" s="39" t="s">
        <v>78</v>
      </c>
      <c r="BF6" s="39" t="s">
        <v>78</v>
      </c>
      <c r="BG6" s="39" t="s">
        <v>78</v>
      </c>
      <c r="BH6" s="39" t="s">
        <v>78</v>
      </c>
      <c r="BI6" s="9" t="s">
        <v>67</v>
      </c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 t="s">
        <v>63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13" t="s">
        <v>58</v>
      </c>
      <c r="ET6" s="14"/>
      <c r="EU6" s="14"/>
      <c r="EV6" s="14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12"/>
    </row>
    <row r="7" spans="1:190" s="1" customFormat="1" ht="17" customHeight="1" x14ac:dyDescent="0.2">
      <c r="A7" s="52"/>
      <c r="B7" s="55" t="s">
        <v>14</v>
      </c>
      <c r="C7" s="46" t="s">
        <v>82</v>
      </c>
      <c r="D7" s="55" t="s">
        <v>15</v>
      </c>
      <c r="E7" s="1" t="s">
        <v>40</v>
      </c>
      <c r="F7" s="8"/>
      <c r="G7" s="8"/>
      <c r="H7" s="8"/>
      <c r="I7" s="8"/>
      <c r="J7" s="8"/>
      <c r="K7" s="9" t="s">
        <v>67</v>
      </c>
      <c r="L7" s="36" t="s">
        <v>78</v>
      </c>
      <c r="M7" s="39" t="s">
        <v>78</v>
      </c>
      <c r="N7" s="39" t="s">
        <v>78</v>
      </c>
      <c r="O7" s="39" t="s">
        <v>78</v>
      </c>
      <c r="P7" s="39" t="s">
        <v>78</v>
      </c>
      <c r="Q7" s="39" t="s">
        <v>78</v>
      </c>
      <c r="R7" s="39" t="s">
        <v>78</v>
      </c>
      <c r="S7" s="39" t="s">
        <v>78</v>
      </c>
      <c r="T7" s="36" t="s">
        <v>78</v>
      </c>
      <c r="U7" s="36" t="s">
        <v>78</v>
      </c>
      <c r="V7" s="36" t="s">
        <v>78</v>
      </c>
      <c r="W7" s="9" t="s">
        <v>67</v>
      </c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9" t="s">
        <v>67</v>
      </c>
      <c r="AN7" s="36" t="s">
        <v>78</v>
      </c>
      <c r="AO7" s="36" t="s">
        <v>78</v>
      </c>
      <c r="AP7" s="36" t="s">
        <v>78</v>
      </c>
      <c r="AQ7" s="36" t="s">
        <v>78</v>
      </c>
      <c r="AR7" s="36" t="s">
        <v>78</v>
      </c>
      <c r="AS7" s="36" t="s">
        <v>78</v>
      </c>
      <c r="AT7" s="36" t="s">
        <v>78</v>
      </c>
      <c r="AU7" s="36" t="s">
        <v>78</v>
      </c>
      <c r="AV7" s="36" t="s">
        <v>78</v>
      </c>
      <c r="AW7" s="36" t="s">
        <v>78</v>
      </c>
      <c r="AX7" s="36" t="s">
        <v>78</v>
      </c>
      <c r="AY7" s="36" t="s">
        <v>78</v>
      </c>
      <c r="AZ7" s="36" t="s">
        <v>78</v>
      </c>
      <c r="BA7" s="36" t="s">
        <v>78</v>
      </c>
      <c r="BB7" s="36" t="s">
        <v>78</v>
      </c>
      <c r="BC7" s="36" t="s">
        <v>78</v>
      </c>
      <c r="BD7" s="36" t="s">
        <v>78</v>
      </c>
      <c r="BE7" s="36" t="s">
        <v>78</v>
      </c>
      <c r="BF7" s="36" t="s">
        <v>78</v>
      </c>
      <c r="BG7" s="36" t="s">
        <v>78</v>
      </c>
      <c r="BH7" s="9" t="s">
        <v>67</v>
      </c>
      <c r="BI7" s="8"/>
      <c r="BJ7" s="9" t="s">
        <v>67</v>
      </c>
      <c r="BK7" s="39" t="s">
        <v>78</v>
      </c>
      <c r="BL7" s="39" t="s">
        <v>78</v>
      </c>
      <c r="BM7" s="39" t="s">
        <v>78</v>
      </c>
      <c r="BN7" s="39" t="s">
        <v>78</v>
      </c>
      <c r="BO7" s="39" t="s">
        <v>78</v>
      </c>
      <c r="BP7" s="39" t="s">
        <v>78</v>
      </c>
      <c r="BQ7" s="39" t="s">
        <v>78</v>
      </c>
      <c r="BR7" s="39" t="s">
        <v>78</v>
      </c>
      <c r="BS7" s="39" t="s">
        <v>78</v>
      </c>
      <c r="BT7" s="39" t="s">
        <v>78</v>
      </c>
      <c r="BU7" s="36" t="s">
        <v>78</v>
      </c>
      <c r="BV7" s="36" t="s">
        <v>78</v>
      </c>
      <c r="BW7" s="36" t="s">
        <v>78</v>
      </c>
      <c r="BX7" s="36" t="s">
        <v>78</v>
      </c>
      <c r="BY7" s="36" t="s">
        <v>78</v>
      </c>
      <c r="BZ7" s="36" t="s">
        <v>78</v>
      </c>
      <c r="CA7" s="36" t="s">
        <v>78</v>
      </c>
      <c r="CB7" s="36" t="s">
        <v>78</v>
      </c>
      <c r="CC7" s="36" t="s">
        <v>78</v>
      </c>
      <c r="CD7" s="36" t="s">
        <v>78</v>
      </c>
      <c r="CE7" s="36" t="s">
        <v>78</v>
      </c>
      <c r="CF7" s="36" t="s">
        <v>78</v>
      </c>
      <c r="CG7" s="36" t="s">
        <v>78</v>
      </c>
      <c r="CH7" s="36" t="s">
        <v>78</v>
      </c>
      <c r="CI7" s="36" t="s">
        <v>78</v>
      </c>
      <c r="CJ7" s="36" t="s">
        <v>78</v>
      </c>
      <c r="CK7" s="36" t="s">
        <v>78</v>
      </c>
      <c r="CL7" s="9" t="s">
        <v>67</v>
      </c>
      <c r="CM7" s="8"/>
      <c r="CN7" s="8"/>
      <c r="CO7" s="8"/>
      <c r="CP7" s="8"/>
      <c r="CQ7" s="8"/>
      <c r="CR7" s="8"/>
      <c r="CS7" s="8"/>
      <c r="CT7" s="8"/>
      <c r="CU7" s="8"/>
      <c r="CV7" s="8" t="s">
        <v>63</v>
      </c>
      <c r="CW7" s="8"/>
      <c r="CX7" s="8"/>
      <c r="CY7" s="8"/>
      <c r="CZ7" s="9" t="s">
        <v>67</v>
      </c>
      <c r="DA7" s="36" t="s">
        <v>78</v>
      </c>
      <c r="DB7" s="36" t="s">
        <v>78</v>
      </c>
      <c r="DC7" s="36" t="s">
        <v>78</v>
      </c>
      <c r="DD7" s="36" t="s">
        <v>78</v>
      </c>
      <c r="DE7" s="36" t="s">
        <v>78</v>
      </c>
      <c r="DF7" s="36" t="s">
        <v>78</v>
      </c>
      <c r="DG7" s="36" t="s">
        <v>78</v>
      </c>
      <c r="DH7" s="36" t="s">
        <v>78</v>
      </c>
      <c r="DI7" s="36" t="s">
        <v>78</v>
      </c>
      <c r="DJ7" s="36" t="s">
        <v>78</v>
      </c>
      <c r="DK7" s="36" t="s">
        <v>78</v>
      </c>
      <c r="DL7" s="36" t="s">
        <v>78</v>
      </c>
      <c r="DM7" s="9" t="s">
        <v>67</v>
      </c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9" t="s">
        <v>67</v>
      </c>
      <c r="EQ7" s="36" t="s">
        <v>78</v>
      </c>
      <c r="ER7" s="36" t="s">
        <v>78</v>
      </c>
      <c r="ES7" s="36" t="s">
        <v>78</v>
      </c>
      <c r="ET7" s="36" t="s">
        <v>78</v>
      </c>
      <c r="EU7" s="36" t="s">
        <v>78</v>
      </c>
      <c r="EV7" s="36" t="s">
        <v>78</v>
      </c>
      <c r="EW7" s="36" t="s">
        <v>78</v>
      </c>
      <c r="EX7" s="36" t="s">
        <v>78</v>
      </c>
      <c r="EY7" s="36" t="s">
        <v>78</v>
      </c>
      <c r="EZ7" s="36" t="s">
        <v>78</v>
      </c>
      <c r="FA7" s="36" t="s">
        <v>78</v>
      </c>
      <c r="FB7" s="36" t="s">
        <v>78</v>
      </c>
      <c r="FC7" s="36" t="s">
        <v>78</v>
      </c>
      <c r="FD7" s="36" t="s">
        <v>78</v>
      </c>
      <c r="FE7" s="36" t="s">
        <v>78</v>
      </c>
      <c r="FF7" s="36" t="s">
        <v>78</v>
      </c>
      <c r="FG7" s="36" t="s">
        <v>78</v>
      </c>
      <c r="FH7" s="36" t="s">
        <v>78</v>
      </c>
      <c r="FI7" s="36" t="s">
        <v>78</v>
      </c>
      <c r="FJ7" s="36" t="s">
        <v>78</v>
      </c>
      <c r="FK7" s="36" t="s">
        <v>78</v>
      </c>
      <c r="FL7" s="36" t="s">
        <v>78</v>
      </c>
      <c r="FM7" s="36" t="s">
        <v>78</v>
      </c>
      <c r="FN7" s="36" t="s">
        <v>78</v>
      </c>
      <c r="FO7" s="36" t="s">
        <v>78</v>
      </c>
      <c r="FP7" s="36" t="s">
        <v>78</v>
      </c>
      <c r="FQ7" s="36" t="s">
        <v>78</v>
      </c>
      <c r="FR7" s="36" t="s">
        <v>78</v>
      </c>
      <c r="FS7" s="9" t="s">
        <v>67</v>
      </c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12"/>
    </row>
    <row r="8" spans="1:190" s="1" customFormat="1" ht="17" customHeight="1" thickBot="1" x14ac:dyDescent="0.25">
      <c r="A8" s="53"/>
      <c r="B8" s="60"/>
      <c r="C8" s="47"/>
      <c r="D8" s="60"/>
      <c r="E8" s="15" t="s">
        <v>41</v>
      </c>
      <c r="F8" s="16"/>
      <c r="G8" s="16"/>
      <c r="H8" s="16"/>
      <c r="I8" s="16"/>
      <c r="J8" s="16"/>
      <c r="K8" s="17" t="s">
        <v>67</v>
      </c>
      <c r="L8" s="37" t="s">
        <v>78</v>
      </c>
      <c r="M8" s="40" t="s">
        <v>78</v>
      </c>
      <c r="N8" s="40" t="s">
        <v>78</v>
      </c>
      <c r="O8" s="40" t="s">
        <v>78</v>
      </c>
      <c r="P8" s="40" t="s">
        <v>78</v>
      </c>
      <c r="Q8" s="40" t="s">
        <v>78</v>
      </c>
      <c r="R8" s="40" t="s">
        <v>78</v>
      </c>
      <c r="S8" s="40" t="s">
        <v>78</v>
      </c>
      <c r="T8" s="37" t="s">
        <v>78</v>
      </c>
      <c r="U8" s="37" t="s">
        <v>78</v>
      </c>
      <c r="V8" s="37" t="s">
        <v>78</v>
      </c>
      <c r="W8" s="17" t="s">
        <v>67</v>
      </c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7" t="s">
        <v>67</v>
      </c>
      <c r="AN8" s="37" t="s">
        <v>78</v>
      </c>
      <c r="AO8" s="37" t="s">
        <v>78</v>
      </c>
      <c r="AP8" s="37" t="s">
        <v>78</v>
      </c>
      <c r="AQ8" s="37" t="s">
        <v>78</v>
      </c>
      <c r="AR8" s="37" t="s">
        <v>78</v>
      </c>
      <c r="AS8" s="37" t="s">
        <v>78</v>
      </c>
      <c r="AT8" s="37" t="s">
        <v>78</v>
      </c>
      <c r="AU8" s="37" t="s">
        <v>78</v>
      </c>
      <c r="AV8" s="37" t="s">
        <v>78</v>
      </c>
      <c r="AW8" s="37" t="s">
        <v>78</v>
      </c>
      <c r="AX8" s="37" t="s">
        <v>78</v>
      </c>
      <c r="AY8" s="37" t="s">
        <v>78</v>
      </c>
      <c r="AZ8" s="37" t="s">
        <v>78</v>
      </c>
      <c r="BA8" s="37" t="s">
        <v>78</v>
      </c>
      <c r="BB8" s="37" t="s">
        <v>78</v>
      </c>
      <c r="BC8" s="37" t="s">
        <v>78</v>
      </c>
      <c r="BD8" s="37" t="s">
        <v>78</v>
      </c>
      <c r="BE8" s="37" t="s">
        <v>78</v>
      </c>
      <c r="BF8" s="37" t="s">
        <v>78</v>
      </c>
      <c r="BG8" s="37" t="s">
        <v>78</v>
      </c>
      <c r="BH8" s="18" t="s">
        <v>68</v>
      </c>
      <c r="BI8" s="17" t="s">
        <v>67</v>
      </c>
      <c r="BJ8" s="17" t="s">
        <v>67</v>
      </c>
      <c r="BK8" s="40" t="s">
        <v>78</v>
      </c>
      <c r="BL8" s="40" t="s">
        <v>78</v>
      </c>
      <c r="BM8" s="40" t="s">
        <v>78</v>
      </c>
      <c r="BN8" s="40" t="s">
        <v>78</v>
      </c>
      <c r="BO8" s="40" t="s">
        <v>78</v>
      </c>
      <c r="BP8" s="40" t="s">
        <v>78</v>
      </c>
      <c r="BQ8" s="40" t="s">
        <v>78</v>
      </c>
      <c r="BR8" s="40" t="s">
        <v>78</v>
      </c>
      <c r="BS8" s="40" t="s">
        <v>78</v>
      </c>
      <c r="BT8" s="40" t="s">
        <v>78</v>
      </c>
      <c r="BU8" s="37" t="s">
        <v>78</v>
      </c>
      <c r="BV8" s="37" t="s">
        <v>78</v>
      </c>
      <c r="BW8" s="37" t="s">
        <v>78</v>
      </c>
      <c r="BX8" s="37" t="s">
        <v>78</v>
      </c>
      <c r="BY8" s="37" t="s">
        <v>78</v>
      </c>
      <c r="BZ8" s="37" t="s">
        <v>78</v>
      </c>
      <c r="CA8" s="37" t="s">
        <v>78</v>
      </c>
      <c r="CB8" s="37" t="s">
        <v>78</v>
      </c>
      <c r="CC8" s="37" t="s">
        <v>78</v>
      </c>
      <c r="CD8" s="37" t="s">
        <v>78</v>
      </c>
      <c r="CE8" s="37" t="s">
        <v>78</v>
      </c>
      <c r="CF8" s="37" t="s">
        <v>78</v>
      </c>
      <c r="CG8" s="37" t="s">
        <v>78</v>
      </c>
      <c r="CH8" s="37" t="s">
        <v>78</v>
      </c>
      <c r="CI8" s="37" t="s">
        <v>78</v>
      </c>
      <c r="CJ8" s="37" t="s">
        <v>78</v>
      </c>
      <c r="CK8" s="37" t="s">
        <v>78</v>
      </c>
      <c r="CL8" s="17" t="s">
        <v>67</v>
      </c>
      <c r="CM8" s="16"/>
      <c r="CN8" s="16"/>
      <c r="CO8" s="16"/>
      <c r="CP8" s="16"/>
      <c r="CQ8" s="16"/>
      <c r="CR8" s="16"/>
      <c r="CS8" s="16"/>
      <c r="CT8" s="16"/>
      <c r="CU8" s="16"/>
      <c r="CV8" s="16" t="s">
        <v>63</v>
      </c>
      <c r="CW8" s="16"/>
      <c r="CX8" s="16"/>
      <c r="CY8" s="16"/>
      <c r="CZ8" s="17" t="s">
        <v>67</v>
      </c>
      <c r="DA8" s="37" t="s">
        <v>78</v>
      </c>
      <c r="DB8" s="37" t="s">
        <v>78</v>
      </c>
      <c r="DC8" s="37" t="s">
        <v>78</v>
      </c>
      <c r="DD8" s="37" t="s">
        <v>78</v>
      </c>
      <c r="DE8" s="37" t="s">
        <v>78</v>
      </c>
      <c r="DF8" s="37" t="s">
        <v>78</v>
      </c>
      <c r="DG8" s="37" t="s">
        <v>78</v>
      </c>
      <c r="DH8" s="37" t="s">
        <v>78</v>
      </c>
      <c r="DI8" s="37" t="s">
        <v>78</v>
      </c>
      <c r="DJ8" s="37" t="s">
        <v>78</v>
      </c>
      <c r="DK8" s="37" t="s">
        <v>78</v>
      </c>
      <c r="DL8" s="17" t="s">
        <v>67</v>
      </c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7" t="s">
        <v>67</v>
      </c>
      <c r="EQ8" s="37" t="s">
        <v>78</v>
      </c>
      <c r="ER8" s="37" t="s">
        <v>78</v>
      </c>
      <c r="ES8" s="37" t="s">
        <v>78</v>
      </c>
      <c r="ET8" s="37" t="s">
        <v>78</v>
      </c>
      <c r="EU8" s="37" t="s">
        <v>78</v>
      </c>
      <c r="EV8" s="37" t="s">
        <v>78</v>
      </c>
      <c r="EW8" s="37" t="s">
        <v>78</v>
      </c>
      <c r="EX8" s="37" t="s">
        <v>78</v>
      </c>
      <c r="EY8" s="37" t="s">
        <v>78</v>
      </c>
      <c r="EZ8" s="37" t="s">
        <v>78</v>
      </c>
      <c r="FA8" s="37" t="s">
        <v>78</v>
      </c>
      <c r="FB8" s="37" t="s">
        <v>78</v>
      </c>
      <c r="FC8" s="37" t="s">
        <v>78</v>
      </c>
      <c r="FD8" s="37" t="s">
        <v>78</v>
      </c>
      <c r="FE8" s="37" t="s">
        <v>78</v>
      </c>
      <c r="FF8" s="37" t="s">
        <v>78</v>
      </c>
      <c r="FG8" s="37" t="s">
        <v>78</v>
      </c>
      <c r="FH8" s="37" t="s">
        <v>78</v>
      </c>
      <c r="FI8" s="37" t="s">
        <v>78</v>
      </c>
      <c r="FJ8" s="37" t="s">
        <v>78</v>
      </c>
      <c r="FK8" s="37" t="s">
        <v>78</v>
      </c>
      <c r="FL8" s="37" t="s">
        <v>78</v>
      </c>
      <c r="FM8" s="37" t="s">
        <v>78</v>
      </c>
      <c r="FN8" s="37" t="s">
        <v>78</v>
      </c>
      <c r="FO8" s="37" t="s">
        <v>78</v>
      </c>
      <c r="FP8" s="37" t="s">
        <v>78</v>
      </c>
      <c r="FQ8" s="37" t="s">
        <v>78</v>
      </c>
      <c r="FR8" s="37" t="s">
        <v>78</v>
      </c>
      <c r="FS8" s="17" t="s">
        <v>67</v>
      </c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9"/>
    </row>
    <row r="9" spans="1:190" s="24" customFormat="1" x14ac:dyDescent="0.2">
      <c r="A9" s="52" t="s">
        <v>16</v>
      </c>
      <c r="B9" s="55" t="s">
        <v>17</v>
      </c>
      <c r="C9" s="45" t="s">
        <v>80</v>
      </c>
      <c r="D9" s="55" t="s">
        <v>18</v>
      </c>
      <c r="E9" s="1" t="s">
        <v>42</v>
      </c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 t="s">
        <v>67</v>
      </c>
      <c r="BP9" s="41" t="s">
        <v>78</v>
      </c>
      <c r="BQ9" s="41" t="s">
        <v>78</v>
      </c>
      <c r="BR9" s="41" t="s">
        <v>78</v>
      </c>
      <c r="BS9" s="41" t="s">
        <v>78</v>
      </c>
      <c r="BT9" s="41" t="s">
        <v>78</v>
      </c>
      <c r="BU9" s="41" t="s">
        <v>78</v>
      </c>
      <c r="BV9" s="41" t="s">
        <v>78</v>
      </c>
      <c r="BW9" s="41" t="s">
        <v>78</v>
      </c>
      <c r="BX9" s="41" t="s">
        <v>78</v>
      </c>
      <c r="BY9" s="41" t="s">
        <v>78</v>
      </c>
      <c r="BZ9" s="38" t="s">
        <v>78</v>
      </c>
      <c r="CA9" s="21" t="s">
        <v>67</v>
      </c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 t="s">
        <v>63</v>
      </c>
      <c r="CW9" s="20"/>
      <c r="CX9" s="20"/>
      <c r="CY9" s="20"/>
      <c r="CZ9" s="20"/>
      <c r="DA9" s="20"/>
      <c r="DB9" s="20"/>
      <c r="DC9" s="22" t="s">
        <v>59</v>
      </c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3"/>
    </row>
    <row r="10" spans="1:190" s="1" customFormat="1" ht="17" customHeight="1" x14ac:dyDescent="0.2">
      <c r="A10" s="52"/>
      <c r="B10" s="55"/>
      <c r="C10" s="46"/>
      <c r="D10" s="55"/>
      <c r="E10" s="1" t="s">
        <v>43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9" t="s">
        <v>67</v>
      </c>
      <c r="BP10" s="39" t="s">
        <v>78</v>
      </c>
      <c r="BQ10" s="39" t="s">
        <v>78</v>
      </c>
      <c r="BR10" s="39" t="s">
        <v>78</v>
      </c>
      <c r="BS10" s="39" t="s">
        <v>78</v>
      </c>
      <c r="BT10" s="39" t="s">
        <v>78</v>
      </c>
      <c r="BU10" s="39" t="s">
        <v>78</v>
      </c>
      <c r="BV10" s="39" t="s">
        <v>78</v>
      </c>
      <c r="BW10" s="39" t="s">
        <v>78</v>
      </c>
      <c r="BX10" s="39" t="s">
        <v>78</v>
      </c>
      <c r="BY10" s="39" t="s">
        <v>78</v>
      </c>
      <c r="BZ10" s="36" t="s">
        <v>78</v>
      </c>
      <c r="CA10" s="9" t="s">
        <v>67</v>
      </c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 t="s">
        <v>63</v>
      </c>
      <c r="CW10" s="8"/>
      <c r="CX10" s="8"/>
      <c r="CY10" s="8"/>
      <c r="CZ10" s="8"/>
      <c r="DA10" s="8"/>
      <c r="DB10" s="8"/>
      <c r="DC10" s="9" t="s">
        <v>67</v>
      </c>
      <c r="DD10" s="36" t="s">
        <v>78</v>
      </c>
      <c r="DE10" s="36" t="s">
        <v>78</v>
      </c>
      <c r="DF10" s="36" t="s">
        <v>78</v>
      </c>
      <c r="DG10" s="36" t="s">
        <v>78</v>
      </c>
      <c r="DH10" s="36" t="s">
        <v>78</v>
      </c>
      <c r="DI10" s="36" t="s">
        <v>78</v>
      </c>
      <c r="DJ10" s="36" t="s">
        <v>78</v>
      </c>
      <c r="DK10" s="36" t="s">
        <v>78</v>
      </c>
      <c r="DL10" s="36" t="s">
        <v>78</v>
      </c>
      <c r="DM10" s="36" t="s">
        <v>78</v>
      </c>
      <c r="DN10" s="36" t="s">
        <v>78</v>
      </c>
      <c r="DO10" s="36" t="s">
        <v>78</v>
      </c>
      <c r="DP10" s="36" t="s">
        <v>78</v>
      </c>
      <c r="DQ10" s="36" t="s">
        <v>78</v>
      </c>
      <c r="DR10" s="36" t="s">
        <v>78</v>
      </c>
      <c r="DS10" s="36" t="s">
        <v>78</v>
      </c>
      <c r="DT10" s="36" t="s">
        <v>78</v>
      </c>
      <c r="DU10" s="36" t="s">
        <v>78</v>
      </c>
      <c r="DV10" s="36" t="s">
        <v>78</v>
      </c>
      <c r="DW10" s="36" t="s">
        <v>78</v>
      </c>
      <c r="DX10" s="36" t="s">
        <v>78</v>
      </c>
      <c r="DY10" s="36" t="s">
        <v>78</v>
      </c>
      <c r="DZ10" s="36" t="s">
        <v>78</v>
      </c>
      <c r="EA10" s="36" t="s">
        <v>78</v>
      </c>
      <c r="EB10" s="9" t="s">
        <v>67</v>
      </c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9" t="s">
        <v>67</v>
      </c>
      <c r="EX10" s="36" t="s">
        <v>78</v>
      </c>
      <c r="EY10" s="36" t="s">
        <v>78</v>
      </c>
      <c r="EZ10" s="36" t="s">
        <v>78</v>
      </c>
      <c r="FA10" s="36" t="s">
        <v>78</v>
      </c>
      <c r="FB10" s="36" t="s">
        <v>78</v>
      </c>
      <c r="FC10" s="36" t="s">
        <v>78</v>
      </c>
      <c r="FD10" s="36" t="s">
        <v>78</v>
      </c>
      <c r="FE10" s="36" t="s">
        <v>78</v>
      </c>
      <c r="FF10" s="36" t="s">
        <v>78</v>
      </c>
      <c r="FG10" s="36" t="s">
        <v>78</v>
      </c>
      <c r="FH10" s="36" t="s">
        <v>78</v>
      </c>
      <c r="FI10" s="9" t="s">
        <v>67</v>
      </c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12"/>
    </row>
    <row r="11" spans="1:190" s="1" customFormat="1" x14ac:dyDescent="0.2">
      <c r="A11" s="52"/>
      <c r="B11" s="55" t="s">
        <v>19</v>
      </c>
      <c r="C11" s="46" t="s">
        <v>81</v>
      </c>
      <c r="D11" s="55" t="s">
        <v>20</v>
      </c>
      <c r="E11" s="43" t="s">
        <v>44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9" t="s">
        <v>67</v>
      </c>
      <c r="BR11" s="39" t="s">
        <v>78</v>
      </c>
      <c r="BS11" s="39" t="s">
        <v>78</v>
      </c>
      <c r="BT11" s="39" t="s">
        <v>78</v>
      </c>
      <c r="BU11" s="39" t="s">
        <v>78</v>
      </c>
      <c r="BV11" s="39" t="s">
        <v>78</v>
      </c>
      <c r="BW11" s="39" t="s">
        <v>78</v>
      </c>
      <c r="BX11" s="39" t="s">
        <v>78</v>
      </c>
      <c r="BY11" s="39" t="s">
        <v>78</v>
      </c>
      <c r="BZ11" s="39" t="s">
        <v>78</v>
      </c>
      <c r="CA11" s="39" t="s">
        <v>78</v>
      </c>
      <c r="CB11" s="9" t="s">
        <v>67</v>
      </c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 t="s">
        <v>63</v>
      </c>
      <c r="CW11" s="8"/>
      <c r="CX11" s="8"/>
      <c r="CY11" s="8"/>
      <c r="CZ11" s="8"/>
      <c r="DA11" s="8"/>
      <c r="DB11" s="14" t="s">
        <v>58</v>
      </c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12"/>
    </row>
    <row r="12" spans="1:190" s="1" customFormat="1" x14ac:dyDescent="0.2">
      <c r="A12" s="52"/>
      <c r="B12" s="55"/>
      <c r="C12" s="46"/>
      <c r="D12" s="55"/>
      <c r="E12" s="1" t="s">
        <v>45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9" t="s">
        <v>67</v>
      </c>
      <c r="BR12" s="39" t="s">
        <v>78</v>
      </c>
      <c r="BS12" s="39" t="s">
        <v>78</v>
      </c>
      <c r="BT12" s="39" t="s">
        <v>78</v>
      </c>
      <c r="BU12" s="39" t="s">
        <v>78</v>
      </c>
      <c r="BV12" s="39" t="s">
        <v>78</v>
      </c>
      <c r="BW12" s="39" t="s">
        <v>78</v>
      </c>
      <c r="BX12" s="39" t="s">
        <v>78</v>
      </c>
      <c r="BY12" s="39" t="s">
        <v>78</v>
      </c>
      <c r="BZ12" s="39" t="s">
        <v>78</v>
      </c>
      <c r="CA12" s="39" t="s">
        <v>78</v>
      </c>
      <c r="CB12" s="36" t="s">
        <v>78</v>
      </c>
      <c r="CC12" s="9" t="s">
        <v>67</v>
      </c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 t="s">
        <v>63</v>
      </c>
      <c r="CW12" s="8"/>
      <c r="CX12" s="8"/>
      <c r="CY12" s="8"/>
      <c r="CZ12" s="8"/>
      <c r="DA12" s="8"/>
      <c r="DB12" s="9" t="s">
        <v>67</v>
      </c>
      <c r="DC12" s="36" t="s">
        <v>78</v>
      </c>
      <c r="DD12" s="36" t="s">
        <v>78</v>
      </c>
      <c r="DE12" s="36" t="s">
        <v>78</v>
      </c>
      <c r="DF12" s="36" t="s">
        <v>78</v>
      </c>
      <c r="DG12" s="36" t="s">
        <v>78</v>
      </c>
      <c r="DH12" s="36" t="s">
        <v>78</v>
      </c>
      <c r="DI12" s="36" t="s">
        <v>78</v>
      </c>
      <c r="DJ12" s="36" t="s">
        <v>78</v>
      </c>
      <c r="DK12" s="36" t="s">
        <v>78</v>
      </c>
      <c r="DL12" s="36" t="s">
        <v>78</v>
      </c>
      <c r="DM12" s="36" t="s">
        <v>78</v>
      </c>
      <c r="DN12" s="36" t="s">
        <v>78</v>
      </c>
      <c r="DO12" s="36" t="s">
        <v>78</v>
      </c>
      <c r="DP12" s="36" t="s">
        <v>78</v>
      </c>
      <c r="DQ12" s="36" t="s">
        <v>78</v>
      </c>
      <c r="DR12" s="36" t="s">
        <v>78</v>
      </c>
      <c r="DS12" s="36" t="s">
        <v>78</v>
      </c>
      <c r="DT12" s="36" t="s">
        <v>78</v>
      </c>
      <c r="DU12" s="36" t="s">
        <v>78</v>
      </c>
      <c r="DV12" s="36" t="s">
        <v>78</v>
      </c>
      <c r="DW12" s="36" t="s">
        <v>78</v>
      </c>
      <c r="DX12" s="36" t="s">
        <v>78</v>
      </c>
      <c r="DY12" s="36" t="s">
        <v>78</v>
      </c>
      <c r="DZ12" s="36" t="s">
        <v>78</v>
      </c>
      <c r="EA12" s="36" t="s">
        <v>78</v>
      </c>
      <c r="EB12" s="36" t="s">
        <v>78</v>
      </c>
      <c r="EC12" s="36" t="s">
        <v>78</v>
      </c>
      <c r="ED12" s="36" t="s">
        <v>78</v>
      </c>
      <c r="EE12" s="9" t="s">
        <v>67</v>
      </c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9" t="s">
        <v>67</v>
      </c>
      <c r="EX12" s="36" t="s">
        <v>78</v>
      </c>
      <c r="EY12" s="36" t="s">
        <v>78</v>
      </c>
      <c r="EZ12" s="36" t="s">
        <v>78</v>
      </c>
      <c r="FA12" s="36" t="s">
        <v>78</v>
      </c>
      <c r="FB12" s="36" t="s">
        <v>78</v>
      </c>
      <c r="FC12" s="36" t="s">
        <v>78</v>
      </c>
      <c r="FD12" s="36" t="s">
        <v>78</v>
      </c>
      <c r="FE12" s="36" t="s">
        <v>78</v>
      </c>
      <c r="FF12" s="36" t="s">
        <v>78</v>
      </c>
      <c r="FG12" s="36" t="s">
        <v>78</v>
      </c>
      <c r="FH12" s="36" t="s">
        <v>78</v>
      </c>
      <c r="FI12" s="9" t="s">
        <v>67</v>
      </c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12"/>
    </row>
    <row r="13" spans="1:190" s="1" customFormat="1" ht="17" customHeight="1" x14ac:dyDescent="0.2">
      <c r="A13" s="52"/>
      <c r="B13" s="55" t="s">
        <v>21</v>
      </c>
      <c r="C13" s="46" t="s">
        <v>82</v>
      </c>
      <c r="D13" s="55" t="s">
        <v>22</v>
      </c>
      <c r="E13" s="1" t="s">
        <v>60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13" t="s">
        <v>62</v>
      </c>
      <c r="BR13" s="14"/>
      <c r="BS13" s="14"/>
      <c r="BT13" s="14"/>
      <c r="BU13" s="14"/>
      <c r="BV13" s="14"/>
      <c r="BW13" s="14"/>
      <c r="BX13" s="14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 t="s">
        <v>63</v>
      </c>
      <c r="CW13" s="8"/>
      <c r="CX13" s="8"/>
      <c r="CY13" s="8"/>
      <c r="CZ13" s="8"/>
      <c r="DA13" s="9" t="s">
        <v>67</v>
      </c>
      <c r="DB13" s="36" t="s">
        <v>78</v>
      </c>
      <c r="DC13" s="36" t="s">
        <v>78</v>
      </c>
      <c r="DD13" s="36" t="s">
        <v>78</v>
      </c>
      <c r="DE13" s="36" t="s">
        <v>78</v>
      </c>
      <c r="DF13" s="36" t="s">
        <v>78</v>
      </c>
      <c r="DG13" s="36" t="s">
        <v>78</v>
      </c>
      <c r="DH13" s="36" t="s">
        <v>78</v>
      </c>
      <c r="DI13" s="36" t="s">
        <v>78</v>
      </c>
      <c r="DJ13" s="36" t="s">
        <v>78</v>
      </c>
      <c r="DK13" s="36" t="s">
        <v>78</v>
      </c>
      <c r="DL13" s="36" t="s">
        <v>78</v>
      </c>
      <c r="DM13" s="9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9" t="s">
        <v>67</v>
      </c>
      <c r="EV13" s="36" t="s">
        <v>78</v>
      </c>
      <c r="EW13" s="36" t="s">
        <v>78</v>
      </c>
      <c r="EX13" s="36" t="s">
        <v>78</v>
      </c>
      <c r="EY13" s="36" t="s">
        <v>78</v>
      </c>
      <c r="EZ13" s="36" t="s">
        <v>78</v>
      </c>
      <c r="FA13" s="36" t="s">
        <v>78</v>
      </c>
      <c r="FB13" s="36" t="s">
        <v>78</v>
      </c>
      <c r="FC13" s="36" t="s">
        <v>78</v>
      </c>
      <c r="FD13" s="36" t="s">
        <v>78</v>
      </c>
      <c r="FE13" s="36" t="s">
        <v>78</v>
      </c>
      <c r="FF13" s="36" t="s">
        <v>78</v>
      </c>
      <c r="FG13" s="36" t="s">
        <v>78</v>
      </c>
      <c r="FH13" s="9" t="s">
        <v>67</v>
      </c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12"/>
    </row>
    <row r="14" spans="1:190" s="1" customFormat="1" ht="17" thickBot="1" x14ac:dyDescent="0.25">
      <c r="A14" s="53"/>
      <c r="B14" s="60"/>
      <c r="C14" s="47"/>
      <c r="D14" s="60"/>
      <c r="E14" s="25" t="s">
        <v>61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26" t="s">
        <v>62</v>
      </c>
      <c r="BR14" s="27"/>
      <c r="BS14" s="27"/>
      <c r="BT14" s="27"/>
      <c r="BU14" s="27"/>
      <c r="BV14" s="27"/>
      <c r="BW14" s="27"/>
      <c r="BX14" s="27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 t="s">
        <v>63</v>
      </c>
      <c r="CW14" s="16"/>
      <c r="CX14" s="16"/>
      <c r="CY14" s="16"/>
      <c r="CZ14" s="16"/>
      <c r="DA14" s="17" t="s">
        <v>67</v>
      </c>
      <c r="DB14" s="37" t="s">
        <v>78</v>
      </c>
      <c r="DC14" s="37" t="s">
        <v>78</v>
      </c>
      <c r="DD14" s="37" t="s">
        <v>78</v>
      </c>
      <c r="DE14" s="37" t="s">
        <v>78</v>
      </c>
      <c r="DF14" s="37" t="s">
        <v>78</v>
      </c>
      <c r="DG14" s="37" t="s">
        <v>78</v>
      </c>
      <c r="DH14" s="37" t="s">
        <v>78</v>
      </c>
      <c r="DI14" s="37" t="s">
        <v>78</v>
      </c>
      <c r="DJ14" s="37" t="s">
        <v>78</v>
      </c>
      <c r="DK14" s="37" t="s">
        <v>78</v>
      </c>
      <c r="DL14" s="37" t="s">
        <v>78</v>
      </c>
      <c r="DM14" s="37" t="s">
        <v>78</v>
      </c>
      <c r="DN14" s="17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28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7" t="s">
        <v>67</v>
      </c>
      <c r="EV14" s="37" t="s">
        <v>78</v>
      </c>
      <c r="EW14" s="37" t="s">
        <v>78</v>
      </c>
      <c r="EX14" s="37" t="s">
        <v>78</v>
      </c>
      <c r="EY14" s="37" t="s">
        <v>78</v>
      </c>
      <c r="EZ14" s="37" t="s">
        <v>78</v>
      </c>
      <c r="FA14" s="37" t="s">
        <v>78</v>
      </c>
      <c r="FB14" s="37" t="s">
        <v>78</v>
      </c>
      <c r="FC14" s="37" t="s">
        <v>78</v>
      </c>
      <c r="FD14" s="37" t="s">
        <v>78</v>
      </c>
      <c r="FE14" s="37" t="s">
        <v>78</v>
      </c>
      <c r="FF14" s="37" t="s">
        <v>78</v>
      </c>
      <c r="FG14" s="37" t="s">
        <v>78</v>
      </c>
      <c r="FH14" s="17" t="s">
        <v>67</v>
      </c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9"/>
    </row>
    <row r="15" spans="1:190" s="24" customFormat="1" x14ac:dyDescent="0.2">
      <c r="A15" s="52" t="s">
        <v>23</v>
      </c>
      <c r="B15" s="55" t="s">
        <v>24</v>
      </c>
      <c r="C15" s="45" t="s">
        <v>83</v>
      </c>
      <c r="D15" s="55" t="s">
        <v>25</v>
      </c>
      <c r="E15" s="1" t="s">
        <v>46</v>
      </c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1" t="s">
        <v>67</v>
      </c>
      <c r="BL15" s="41" t="s">
        <v>78</v>
      </c>
      <c r="BM15" s="41" t="s">
        <v>78</v>
      </c>
      <c r="BN15" s="41" t="s">
        <v>78</v>
      </c>
      <c r="BO15" s="41" t="s">
        <v>78</v>
      </c>
      <c r="BP15" s="41" t="s">
        <v>78</v>
      </c>
      <c r="BQ15" s="41" t="s">
        <v>78</v>
      </c>
      <c r="BR15" s="41" t="s">
        <v>78</v>
      </c>
      <c r="BS15" s="41" t="s">
        <v>78</v>
      </c>
      <c r="BT15" s="41" t="s">
        <v>78</v>
      </c>
      <c r="BU15" s="41" t="s">
        <v>78</v>
      </c>
      <c r="BV15" s="21" t="s">
        <v>67</v>
      </c>
      <c r="BW15" s="20"/>
      <c r="BX15" s="20"/>
      <c r="BY15" s="20"/>
      <c r="BZ15" s="20"/>
      <c r="CA15" s="20"/>
      <c r="CB15" s="20"/>
      <c r="CC15" s="20"/>
      <c r="CD15" s="20"/>
      <c r="CE15" s="20" t="s">
        <v>75</v>
      </c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 t="s">
        <v>63</v>
      </c>
      <c r="CW15" s="20"/>
      <c r="CX15" s="20"/>
      <c r="CY15" s="20"/>
      <c r="CZ15" s="21" t="s">
        <v>67</v>
      </c>
      <c r="DA15" s="38" t="s">
        <v>78</v>
      </c>
      <c r="DB15" s="38" t="s">
        <v>78</v>
      </c>
      <c r="DC15" s="38" t="s">
        <v>78</v>
      </c>
      <c r="DD15" s="38" t="s">
        <v>78</v>
      </c>
      <c r="DE15" s="38" t="s">
        <v>78</v>
      </c>
      <c r="DF15" s="38" t="s">
        <v>78</v>
      </c>
      <c r="DG15" s="38" t="s">
        <v>78</v>
      </c>
      <c r="DH15" s="38" t="s">
        <v>78</v>
      </c>
      <c r="DI15" s="38" t="s">
        <v>78</v>
      </c>
      <c r="DJ15" s="38" t="s">
        <v>78</v>
      </c>
      <c r="DK15" s="38" t="s">
        <v>78</v>
      </c>
      <c r="DL15" s="38" t="s">
        <v>78</v>
      </c>
      <c r="DM15" s="38" t="s">
        <v>78</v>
      </c>
      <c r="DN15" s="38" t="s">
        <v>78</v>
      </c>
      <c r="DO15" s="38" t="s">
        <v>78</v>
      </c>
      <c r="DP15" s="38" t="s">
        <v>78</v>
      </c>
      <c r="DQ15" s="38" t="s">
        <v>78</v>
      </c>
      <c r="DR15" s="38" t="s">
        <v>78</v>
      </c>
      <c r="DS15" s="38" t="s">
        <v>78</v>
      </c>
      <c r="DT15" s="38" t="s">
        <v>78</v>
      </c>
      <c r="DU15" s="38" t="s">
        <v>78</v>
      </c>
      <c r="DV15" s="38" t="s">
        <v>78</v>
      </c>
      <c r="DW15" s="38" t="s">
        <v>78</v>
      </c>
      <c r="DX15" s="38" t="s">
        <v>78</v>
      </c>
      <c r="DY15" s="21" t="s">
        <v>67</v>
      </c>
      <c r="DZ15" s="20"/>
      <c r="EA15" s="20"/>
      <c r="EB15" s="20"/>
      <c r="EC15" s="20"/>
      <c r="ED15" s="20"/>
      <c r="EE15" s="20"/>
      <c r="EF15" s="20"/>
      <c r="EG15" s="29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1" t="s">
        <v>67</v>
      </c>
      <c r="EU15" s="38" t="s">
        <v>78</v>
      </c>
      <c r="EV15" s="38" t="s">
        <v>78</v>
      </c>
      <c r="EW15" s="38" t="s">
        <v>78</v>
      </c>
      <c r="EX15" s="38" t="s">
        <v>78</v>
      </c>
      <c r="EY15" s="38" t="s">
        <v>78</v>
      </c>
      <c r="EZ15" s="38" t="s">
        <v>78</v>
      </c>
      <c r="FA15" s="38" t="s">
        <v>78</v>
      </c>
      <c r="FB15" s="38" t="s">
        <v>78</v>
      </c>
      <c r="FC15" s="38" t="s">
        <v>78</v>
      </c>
      <c r="FD15" s="38" t="s">
        <v>78</v>
      </c>
      <c r="FE15" s="38" t="s">
        <v>78</v>
      </c>
      <c r="FF15" s="21" t="s">
        <v>67</v>
      </c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3"/>
    </row>
    <row r="16" spans="1:190" s="1" customFormat="1" x14ac:dyDescent="0.2">
      <c r="A16" s="52"/>
      <c r="B16" s="55"/>
      <c r="C16" s="46"/>
      <c r="D16" s="55"/>
      <c r="E16" s="1" t="s">
        <v>47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9" t="s">
        <v>67</v>
      </c>
      <c r="BL16" s="39" t="s">
        <v>78</v>
      </c>
      <c r="BM16" s="39" t="s">
        <v>78</v>
      </c>
      <c r="BN16" s="39" t="s">
        <v>78</v>
      </c>
      <c r="BO16" s="39" t="s">
        <v>78</v>
      </c>
      <c r="BP16" s="39" t="s">
        <v>78</v>
      </c>
      <c r="BQ16" s="39" t="s">
        <v>78</v>
      </c>
      <c r="BR16" s="39" t="s">
        <v>78</v>
      </c>
      <c r="BS16" s="39" t="s">
        <v>78</v>
      </c>
      <c r="BT16" s="39" t="s">
        <v>78</v>
      </c>
      <c r="BU16" s="39" t="s">
        <v>78</v>
      </c>
      <c r="BV16" s="36" t="s">
        <v>78</v>
      </c>
      <c r="BW16" s="9" t="s">
        <v>67</v>
      </c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 t="s">
        <v>63</v>
      </c>
      <c r="CW16" s="8"/>
      <c r="CX16" s="8"/>
      <c r="CY16" s="8"/>
      <c r="CZ16" s="9" t="s">
        <v>67</v>
      </c>
      <c r="DA16" s="36" t="s">
        <v>78</v>
      </c>
      <c r="DB16" s="36" t="s">
        <v>78</v>
      </c>
      <c r="DC16" s="36" t="s">
        <v>78</v>
      </c>
      <c r="DD16" s="36" t="s">
        <v>78</v>
      </c>
      <c r="DE16" s="36" t="s">
        <v>78</v>
      </c>
      <c r="DF16" s="36" t="s">
        <v>78</v>
      </c>
      <c r="DG16" s="36" t="s">
        <v>78</v>
      </c>
      <c r="DH16" s="36" t="s">
        <v>78</v>
      </c>
      <c r="DI16" s="36" t="s">
        <v>78</v>
      </c>
      <c r="DJ16" s="36" t="s">
        <v>78</v>
      </c>
      <c r="DK16" s="36" t="s">
        <v>78</v>
      </c>
      <c r="DL16" s="36" t="s">
        <v>78</v>
      </c>
      <c r="DM16" s="36" t="s">
        <v>78</v>
      </c>
      <c r="DN16" s="36" t="s">
        <v>78</v>
      </c>
      <c r="DO16" s="36" t="s">
        <v>78</v>
      </c>
      <c r="DP16" s="36" t="s">
        <v>78</v>
      </c>
      <c r="DQ16" s="36" t="s">
        <v>78</v>
      </c>
      <c r="DR16" s="36" t="s">
        <v>78</v>
      </c>
      <c r="DS16" s="36" t="s">
        <v>78</v>
      </c>
      <c r="DT16" s="36" t="s">
        <v>78</v>
      </c>
      <c r="DU16" s="36" t="s">
        <v>78</v>
      </c>
      <c r="DV16" s="36" t="s">
        <v>78</v>
      </c>
      <c r="DW16" s="36" t="s">
        <v>78</v>
      </c>
      <c r="DX16" s="36" t="s">
        <v>78</v>
      </c>
      <c r="DY16" s="36" t="s">
        <v>78</v>
      </c>
      <c r="DZ16" s="36" t="s">
        <v>78</v>
      </c>
      <c r="EA16" s="36" t="s">
        <v>78</v>
      </c>
      <c r="EB16" s="36" t="s">
        <v>78</v>
      </c>
      <c r="EC16" s="9" t="s">
        <v>67</v>
      </c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9" t="s">
        <v>67</v>
      </c>
      <c r="EU16" s="36" t="s">
        <v>78</v>
      </c>
      <c r="EV16" s="36" t="s">
        <v>78</v>
      </c>
      <c r="EW16" s="36" t="s">
        <v>78</v>
      </c>
      <c r="EX16" s="36" t="s">
        <v>78</v>
      </c>
      <c r="EY16" s="36" t="s">
        <v>78</v>
      </c>
      <c r="EZ16" s="36" t="s">
        <v>78</v>
      </c>
      <c r="FA16" s="36" t="s">
        <v>78</v>
      </c>
      <c r="FB16" s="36" t="s">
        <v>78</v>
      </c>
      <c r="FC16" s="36" t="s">
        <v>78</v>
      </c>
      <c r="FD16" s="36" t="s">
        <v>78</v>
      </c>
      <c r="FE16" s="36" t="s">
        <v>78</v>
      </c>
      <c r="FF16" s="36" t="s">
        <v>78</v>
      </c>
      <c r="FG16" s="9" t="s">
        <v>67</v>
      </c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12"/>
    </row>
    <row r="17" spans="1:190" s="1" customFormat="1" x14ac:dyDescent="0.2">
      <c r="A17" s="52"/>
      <c r="B17" s="55" t="s">
        <v>26</v>
      </c>
      <c r="C17" s="46" t="s">
        <v>83</v>
      </c>
      <c r="D17" s="55" t="s">
        <v>27</v>
      </c>
      <c r="E17" s="1" t="s">
        <v>48</v>
      </c>
      <c r="F17" s="8"/>
      <c r="G17" s="8"/>
      <c r="H17" s="8"/>
      <c r="I17" s="8"/>
      <c r="J17" s="8"/>
      <c r="K17" s="8"/>
      <c r="L17" s="9" t="s">
        <v>67</v>
      </c>
      <c r="M17" s="39" t="s">
        <v>78</v>
      </c>
      <c r="N17" s="39" t="s">
        <v>78</v>
      </c>
      <c r="O17" s="39" t="s">
        <v>78</v>
      </c>
      <c r="P17" s="39" t="s">
        <v>78</v>
      </c>
      <c r="Q17" s="39" t="s">
        <v>78</v>
      </c>
      <c r="R17" s="39" t="s">
        <v>78</v>
      </c>
      <c r="S17" s="39" t="s">
        <v>78</v>
      </c>
      <c r="T17" s="9" t="s">
        <v>67</v>
      </c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9" t="s">
        <v>67</v>
      </c>
      <c r="BI17" s="44" t="s">
        <v>78</v>
      </c>
      <c r="BJ17" s="39" t="s">
        <v>78</v>
      </c>
      <c r="BK17" s="39" t="s">
        <v>78</v>
      </c>
      <c r="BL17" s="39" t="s">
        <v>78</v>
      </c>
      <c r="BM17" s="39" t="s">
        <v>78</v>
      </c>
      <c r="BN17" s="39" t="s">
        <v>78</v>
      </c>
      <c r="BO17" s="39" t="s">
        <v>78</v>
      </c>
      <c r="BP17" s="39" t="s">
        <v>78</v>
      </c>
      <c r="BQ17" s="39" t="s">
        <v>78</v>
      </c>
      <c r="BR17" s="39" t="s">
        <v>78</v>
      </c>
      <c r="BS17" s="39" t="s">
        <v>78</v>
      </c>
      <c r="BT17" s="36" t="s">
        <v>78</v>
      </c>
      <c r="BU17" s="36" t="s">
        <v>78</v>
      </c>
      <c r="BV17" s="36" t="s">
        <v>78</v>
      </c>
      <c r="BW17" s="36" t="s">
        <v>78</v>
      </c>
      <c r="BX17" s="36" t="s">
        <v>78</v>
      </c>
      <c r="BY17" s="36" t="s">
        <v>78</v>
      </c>
      <c r="BZ17" s="36" t="s">
        <v>78</v>
      </c>
      <c r="CA17" s="36" t="s">
        <v>78</v>
      </c>
      <c r="CB17" s="36" t="s">
        <v>78</v>
      </c>
      <c r="CC17" s="36" t="s">
        <v>78</v>
      </c>
      <c r="CD17" s="36" t="s">
        <v>78</v>
      </c>
      <c r="CE17" s="36" t="s">
        <v>78</v>
      </c>
      <c r="CF17" s="36" t="s">
        <v>78</v>
      </c>
      <c r="CG17" s="9" t="s">
        <v>67</v>
      </c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 t="s">
        <v>63</v>
      </c>
      <c r="CW17" s="8"/>
      <c r="CX17" s="8"/>
      <c r="CY17" s="9" t="s">
        <v>67</v>
      </c>
      <c r="CZ17" s="36">
        <v>2</v>
      </c>
      <c r="DA17" s="36">
        <v>2</v>
      </c>
      <c r="DB17" s="36">
        <v>2</v>
      </c>
      <c r="DC17" s="36">
        <v>2</v>
      </c>
      <c r="DD17" s="36">
        <v>2</v>
      </c>
      <c r="DE17" s="36">
        <v>2</v>
      </c>
      <c r="DF17" s="36">
        <v>2</v>
      </c>
      <c r="DG17" s="36">
        <v>2</v>
      </c>
      <c r="DH17" s="36">
        <v>2</v>
      </c>
      <c r="DI17" s="36">
        <v>2</v>
      </c>
      <c r="DJ17" s="36">
        <v>2</v>
      </c>
      <c r="DK17" s="9" t="s">
        <v>67</v>
      </c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9"/>
      <c r="EP17" s="36">
        <v>2</v>
      </c>
      <c r="EQ17" s="36">
        <v>2</v>
      </c>
      <c r="ER17" s="36">
        <v>2</v>
      </c>
      <c r="ES17" s="36">
        <v>2</v>
      </c>
      <c r="ET17" s="36">
        <v>2</v>
      </c>
      <c r="EU17" s="36">
        <v>2</v>
      </c>
      <c r="EV17" s="36">
        <v>2</v>
      </c>
      <c r="EW17" s="36">
        <v>2</v>
      </c>
      <c r="EX17" s="36">
        <v>2</v>
      </c>
      <c r="EY17" s="36">
        <v>2</v>
      </c>
      <c r="EZ17" s="36">
        <v>2</v>
      </c>
      <c r="FA17" s="36">
        <v>2</v>
      </c>
      <c r="FB17" s="36">
        <v>2</v>
      </c>
      <c r="FC17" s="36">
        <v>2</v>
      </c>
      <c r="FD17" s="36">
        <v>2</v>
      </c>
      <c r="FE17" s="36">
        <v>2</v>
      </c>
      <c r="FF17" s="36">
        <v>2</v>
      </c>
      <c r="FG17" s="36">
        <v>2</v>
      </c>
      <c r="FH17" s="36">
        <v>2</v>
      </c>
      <c r="FI17" s="36">
        <v>2</v>
      </c>
      <c r="FJ17" s="36">
        <v>2</v>
      </c>
      <c r="FK17" s="36">
        <v>2</v>
      </c>
      <c r="FL17" s="36">
        <v>2</v>
      </c>
      <c r="FM17" s="9" t="s">
        <v>67</v>
      </c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12"/>
    </row>
    <row r="18" spans="1:190" s="1" customFormat="1" x14ac:dyDescent="0.2">
      <c r="A18" s="52"/>
      <c r="B18" s="55"/>
      <c r="C18" s="46"/>
      <c r="D18" s="55"/>
      <c r="E18" s="1" t="s">
        <v>49</v>
      </c>
      <c r="F18" s="8"/>
      <c r="G18" s="8"/>
      <c r="H18" s="8"/>
      <c r="I18" s="8"/>
      <c r="J18" s="8"/>
      <c r="K18" s="8"/>
      <c r="L18" s="9" t="s">
        <v>67</v>
      </c>
      <c r="M18" s="39" t="s">
        <v>78</v>
      </c>
      <c r="N18" s="39" t="s">
        <v>78</v>
      </c>
      <c r="O18" s="39" t="s">
        <v>78</v>
      </c>
      <c r="P18" s="39" t="s">
        <v>78</v>
      </c>
      <c r="Q18" s="39" t="s">
        <v>78</v>
      </c>
      <c r="R18" s="39" t="s">
        <v>78</v>
      </c>
      <c r="S18" s="39" t="s">
        <v>78</v>
      </c>
      <c r="T18" s="36" t="s">
        <v>78</v>
      </c>
      <c r="U18" s="36" t="s">
        <v>78</v>
      </c>
      <c r="V18" s="36" t="s">
        <v>78</v>
      </c>
      <c r="W18" s="36" t="s">
        <v>78</v>
      </c>
      <c r="X18" s="9" t="s">
        <v>67</v>
      </c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9" t="s">
        <v>67</v>
      </c>
      <c r="BI18" s="44" t="s">
        <v>78</v>
      </c>
      <c r="BJ18" s="39" t="s">
        <v>78</v>
      </c>
      <c r="BK18" s="39" t="s">
        <v>78</v>
      </c>
      <c r="BL18" s="39" t="s">
        <v>78</v>
      </c>
      <c r="BM18" s="39" t="s">
        <v>78</v>
      </c>
      <c r="BN18" s="39" t="s">
        <v>78</v>
      </c>
      <c r="BO18" s="39" t="s">
        <v>78</v>
      </c>
      <c r="BP18" s="39" t="s">
        <v>78</v>
      </c>
      <c r="BQ18" s="39" t="s">
        <v>78</v>
      </c>
      <c r="BR18" s="39" t="s">
        <v>78</v>
      </c>
      <c r="BS18" s="39" t="s">
        <v>78</v>
      </c>
      <c r="BT18" s="36" t="s">
        <v>78</v>
      </c>
      <c r="BU18" s="36" t="s">
        <v>78</v>
      </c>
      <c r="BV18" s="36" t="s">
        <v>78</v>
      </c>
      <c r="BW18" s="36" t="s">
        <v>78</v>
      </c>
      <c r="BX18" s="36" t="s">
        <v>78</v>
      </c>
      <c r="BY18" s="36" t="s">
        <v>78</v>
      </c>
      <c r="BZ18" s="36" t="s">
        <v>78</v>
      </c>
      <c r="CA18" s="36" t="s">
        <v>78</v>
      </c>
      <c r="CB18" s="36" t="s">
        <v>78</v>
      </c>
      <c r="CC18" s="36" t="s">
        <v>78</v>
      </c>
      <c r="CD18" s="36" t="s">
        <v>78</v>
      </c>
      <c r="CE18" s="36" t="s">
        <v>78</v>
      </c>
      <c r="CF18" s="36" t="s">
        <v>78</v>
      </c>
      <c r="CG18" s="36" t="s">
        <v>78</v>
      </c>
      <c r="CH18" s="36" t="s">
        <v>78</v>
      </c>
      <c r="CI18" s="36" t="s">
        <v>78</v>
      </c>
      <c r="CJ18" s="9" t="s">
        <v>67</v>
      </c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 t="s">
        <v>63</v>
      </c>
      <c r="CW18" s="8"/>
      <c r="CX18" s="8"/>
      <c r="CY18" s="9" t="s">
        <v>67</v>
      </c>
      <c r="CZ18" s="36" t="s">
        <v>78</v>
      </c>
      <c r="DA18" s="36" t="s">
        <v>78</v>
      </c>
      <c r="DB18" s="36" t="s">
        <v>78</v>
      </c>
      <c r="DC18" s="36" t="s">
        <v>78</v>
      </c>
      <c r="DD18" s="36" t="s">
        <v>78</v>
      </c>
      <c r="DE18" s="36" t="s">
        <v>78</v>
      </c>
      <c r="DF18" s="36" t="s">
        <v>78</v>
      </c>
      <c r="DG18" s="36" t="s">
        <v>78</v>
      </c>
      <c r="DH18" s="36" t="s">
        <v>78</v>
      </c>
      <c r="DI18" s="36" t="s">
        <v>78</v>
      </c>
      <c r="DJ18" s="36" t="s">
        <v>78</v>
      </c>
      <c r="DK18" s="9" t="s">
        <v>67</v>
      </c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9"/>
      <c r="EP18" s="36" t="s">
        <v>78</v>
      </c>
      <c r="EQ18" s="36" t="s">
        <v>78</v>
      </c>
      <c r="ER18" s="36" t="s">
        <v>78</v>
      </c>
      <c r="ES18" s="36" t="s">
        <v>78</v>
      </c>
      <c r="ET18" s="36" t="s">
        <v>78</v>
      </c>
      <c r="EU18" s="36" t="s">
        <v>78</v>
      </c>
      <c r="EV18" s="36" t="s">
        <v>78</v>
      </c>
      <c r="EW18" s="36" t="s">
        <v>78</v>
      </c>
      <c r="EX18" s="36" t="s">
        <v>78</v>
      </c>
      <c r="EY18" s="36" t="s">
        <v>78</v>
      </c>
      <c r="EZ18" s="36" t="s">
        <v>78</v>
      </c>
      <c r="FA18" s="36" t="s">
        <v>78</v>
      </c>
      <c r="FB18" s="36" t="s">
        <v>78</v>
      </c>
      <c r="FC18" s="36" t="s">
        <v>78</v>
      </c>
      <c r="FD18" s="36" t="s">
        <v>78</v>
      </c>
      <c r="FE18" s="36" t="s">
        <v>78</v>
      </c>
      <c r="FF18" s="36" t="s">
        <v>78</v>
      </c>
      <c r="FG18" s="36" t="s">
        <v>78</v>
      </c>
      <c r="FH18" s="36" t="s">
        <v>78</v>
      </c>
      <c r="FI18" s="36" t="s">
        <v>78</v>
      </c>
      <c r="FJ18" s="36" t="s">
        <v>78</v>
      </c>
      <c r="FK18" s="36" t="s">
        <v>78</v>
      </c>
      <c r="FL18" s="36" t="s">
        <v>78</v>
      </c>
      <c r="FM18" s="36" t="s">
        <v>78</v>
      </c>
      <c r="FN18" s="36" t="s">
        <v>78</v>
      </c>
      <c r="FO18" s="36" t="s">
        <v>78</v>
      </c>
      <c r="FP18" s="36" t="s">
        <v>78</v>
      </c>
      <c r="FQ18" s="36" t="s">
        <v>78</v>
      </c>
      <c r="FR18" s="9" t="s">
        <v>67</v>
      </c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12"/>
    </row>
    <row r="19" spans="1:190" s="1" customFormat="1" x14ac:dyDescent="0.2">
      <c r="A19" s="52"/>
      <c r="B19" s="55" t="s">
        <v>28</v>
      </c>
      <c r="C19" s="46" t="s">
        <v>83</v>
      </c>
      <c r="D19" s="55" t="s">
        <v>29</v>
      </c>
      <c r="E19" s="1" t="s">
        <v>50</v>
      </c>
      <c r="F19" s="8"/>
      <c r="G19" s="8"/>
      <c r="H19" s="8"/>
      <c r="I19" s="8"/>
      <c r="J19" s="8"/>
      <c r="K19" s="8"/>
      <c r="L19" s="13"/>
      <c r="M19" s="14" t="s">
        <v>58</v>
      </c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 t="s">
        <v>63</v>
      </c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12"/>
    </row>
    <row r="20" spans="1:190" s="1" customFormat="1" x14ac:dyDescent="0.2">
      <c r="A20" s="52"/>
      <c r="B20" s="55"/>
      <c r="C20" s="46"/>
      <c r="D20" s="55"/>
      <c r="E20" s="1" t="s">
        <v>51</v>
      </c>
      <c r="F20" s="8"/>
      <c r="G20" s="8"/>
      <c r="H20" s="8"/>
      <c r="I20" s="8"/>
      <c r="J20" s="8"/>
      <c r="K20" s="8"/>
      <c r="L20" s="13"/>
      <c r="M20" s="14" t="s">
        <v>58</v>
      </c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 t="s">
        <v>63</v>
      </c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12"/>
    </row>
    <row r="21" spans="1:190" s="1" customFormat="1" x14ac:dyDescent="0.2">
      <c r="A21" s="52"/>
      <c r="B21" s="55" t="s">
        <v>30</v>
      </c>
      <c r="C21" s="46" t="s">
        <v>83</v>
      </c>
      <c r="D21" s="55" t="s">
        <v>31</v>
      </c>
      <c r="E21" s="1" t="s">
        <v>52</v>
      </c>
      <c r="F21" s="8"/>
      <c r="G21" s="8"/>
      <c r="H21" s="8"/>
      <c r="I21" s="8"/>
      <c r="J21" s="8"/>
      <c r="K21" s="8"/>
      <c r="L21" s="9" t="s">
        <v>67</v>
      </c>
      <c r="M21" s="39" t="s">
        <v>78</v>
      </c>
      <c r="N21" s="39" t="s">
        <v>78</v>
      </c>
      <c r="O21" s="39" t="s">
        <v>78</v>
      </c>
      <c r="P21" s="39" t="s">
        <v>78</v>
      </c>
      <c r="Q21" s="39" t="s">
        <v>78</v>
      </c>
      <c r="R21" s="39" t="s">
        <v>78</v>
      </c>
      <c r="S21" s="39" t="s">
        <v>78</v>
      </c>
      <c r="T21" s="36" t="s">
        <v>78</v>
      </c>
      <c r="U21" s="36" t="s">
        <v>78</v>
      </c>
      <c r="V21" s="36" t="s">
        <v>78</v>
      </c>
      <c r="W21" s="36" t="s">
        <v>78</v>
      </c>
      <c r="X21" s="9" t="s">
        <v>67</v>
      </c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13"/>
      <c r="BS21" s="14"/>
      <c r="BT21" s="14"/>
      <c r="BU21" s="14"/>
      <c r="BV21" s="14"/>
      <c r="BW21" s="14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 t="s">
        <v>63</v>
      </c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12"/>
    </row>
    <row r="22" spans="1:190" s="1" customFormat="1" x14ac:dyDescent="0.2">
      <c r="A22" s="52"/>
      <c r="B22" s="55"/>
      <c r="C22" s="46"/>
      <c r="D22" s="55"/>
      <c r="E22" s="1" t="s">
        <v>53</v>
      </c>
      <c r="F22" s="8"/>
      <c r="G22" s="8"/>
      <c r="H22" s="8"/>
      <c r="I22" s="8"/>
      <c r="J22" s="8"/>
      <c r="K22" s="8"/>
      <c r="L22" s="9" t="s">
        <v>67</v>
      </c>
      <c r="M22" s="39" t="s">
        <v>78</v>
      </c>
      <c r="N22" s="39" t="s">
        <v>78</v>
      </c>
      <c r="O22" s="39" t="s">
        <v>78</v>
      </c>
      <c r="P22" s="39" t="s">
        <v>78</v>
      </c>
      <c r="Q22" s="39" t="s">
        <v>78</v>
      </c>
      <c r="R22" s="39" t="s">
        <v>78</v>
      </c>
      <c r="S22" s="39" t="s">
        <v>78</v>
      </c>
      <c r="T22" s="36" t="s">
        <v>78</v>
      </c>
      <c r="U22" s="36" t="s">
        <v>78</v>
      </c>
      <c r="V22" s="36" t="s">
        <v>78</v>
      </c>
      <c r="W22" s="36" t="s">
        <v>78</v>
      </c>
      <c r="X22" s="9" t="s">
        <v>67</v>
      </c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13"/>
      <c r="BS22" s="14"/>
      <c r="BT22" s="14"/>
      <c r="BU22" s="14"/>
      <c r="BV22" s="14"/>
      <c r="BW22" s="14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 t="s">
        <v>63</v>
      </c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12"/>
    </row>
    <row r="23" spans="1:190" s="1" customFormat="1" x14ac:dyDescent="0.2">
      <c r="A23" s="52"/>
      <c r="B23" s="57" t="s">
        <v>32</v>
      </c>
      <c r="C23" s="46" t="s">
        <v>84</v>
      </c>
      <c r="D23" s="54" t="s">
        <v>33</v>
      </c>
      <c r="E23" s="43" t="s">
        <v>54</v>
      </c>
      <c r="F23" s="8"/>
      <c r="G23" s="8"/>
      <c r="H23" s="8"/>
      <c r="I23" s="8"/>
      <c r="J23" s="8"/>
      <c r="K23" s="8"/>
      <c r="L23" s="9" t="s">
        <v>67</v>
      </c>
      <c r="M23" s="39" t="s">
        <v>78</v>
      </c>
      <c r="N23" s="39" t="s">
        <v>78</v>
      </c>
      <c r="O23" s="39" t="s">
        <v>78</v>
      </c>
      <c r="P23" s="39" t="s">
        <v>78</v>
      </c>
      <c r="Q23" s="39" t="s">
        <v>78</v>
      </c>
      <c r="R23" s="39" t="s">
        <v>78</v>
      </c>
      <c r="S23" s="39" t="s">
        <v>78</v>
      </c>
      <c r="T23" s="36" t="s">
        <v>78</v>
      </c>
      <c r="U23" s="36" t="s">
        <v>78</v>
      </c>
      <c r="V23" s="36" t="s">
        <v>78</v>
      </c>
      <c r="W23" s="36" t="s">
        <v>78</v>
      </c>
      <c r="X23" s="9" t="s">
        <v>67</v>
      </c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9" t="s">
        <v>67</v>
      </c>
      <c r="BS23" s="39" t="s">
        <v>78</v>
      </c>
      <c r="BT23" s="39" t="s">
        <v>78</v>
      </c>
      <c r="BU23" s="39" t="s">
        <v>78</v>
      </c>
      <c r="BV23" s="39" t="s">
        <v>78</v>
      </c>
      <c r="BW23" s="39" t="s">
        <v>78</v>
      </c>
      <c r="BX23" s="39" t="s">
        <v>78</v>
      </c>
      <c r="BY23" s="39" t="s">
        <v>78</v>
      </c>
      <c r="BZ23" s="39" t="s">
        <v>78</v>
      </c>
      <c r="CA23" s="39" t="s">
        <v>78</v>
      </c>
      <c r="CB23" s="39" t="s">
        <v>78</v>
      </c>
      <c r="CC23" s="10" t="s">
        <v>68</v>
      </c>
      <c r="CD23" s="10" t="s">
        <v>68</v>
      </c>
      <c r="CE23" s="10" t="s">
        <v>68</v>
      </c>
      <c r="CF23" s="10" t="s">
        <v>68</v>
      </c>
      <c r="CG23" s="10" t="s">
        <v>68</v>
      </c>
      <c r="CH23" s="10" t="s">
        <v>68</v>
      </c>
      <c r="CI23" s="10" t="s">
        <v>68</v>
      </c>
      <c r="CJ23" s="10" t="s">
        <v>68</v>
      </c>
      <c r="CK23" s="10" t="s">
        <v>68</v>
      </c>
      <c r="CL23" s="10" t="s">
        <v>68</v>
      </c>
      <c r="CM23" s="10" t="s">
        <v>68</v>
      </c>
      <c r="CN23" s="10" t="s">
        <v>68</v>
      </c>
      <c r="CO23" s="10" t="s">
        <v>68</v>
      </c>
      <c r="CP23" s="9" t="s">
        <v>67</v>
      </c>
      <c r="CQ23" s="8"/>
      <c r="CR23" s="8"/>
      <c r="CS23" s="8"/>
      <c r="CT23" s="8"/>
      <c r="CU23" s="8"/>
      <c r="CV23" s="8" t="s">
        <v>63</v>
      </c>
      <c r="CW23" s="8"/>
      <c r="CX23" s="9" t="s">
        <v>67</v>
      </c>
      <c r="CY23" s="36" t="s">
        <v>78</v>
      </c>
      <c r="CZ23" s="36" t="s">
        <v>78</v>
      </c>
      <c r="DA23" s="36" t="s">
        <v>78</v>
      </c>
      <c r="DB23" s="36" t="s">
        <v>78</v>
      </c>
      <c r="DC23" s="36" t="s">
        <v>78</v>
      </c>
      <c r="DD23" s="36" t="s">
        <v>78</v>
      </c>
      <c r="DE23" s="36" t="s">
        <v>78</v>
      </c>
      <c r="DF23" s="36" t="s">
        <v>78</v>
      </c>
      <c r="DG23" s="36" t="s">
        <v>78</v>
      </c>
      <c r="DH23" s="36" t="s">
        <v>78</v>
      </c>
      <c r="DI23" s="36" t="s">
        <v>78</v>
      </c>
      <c r="DJ23" s="9" t="s">
        <v>67</v>
      </c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9" t="s">
        <v>67</v>
      </c>
      <c r="EU23" s="36" t="s">
        <v>78</v>
      </c>
      <c r="EV23" s="36" t="s">
        <v>78</v>
      </c>
      <c r="EW23" s="36" t="s">
        <v>78</v>
      </c>
      <c r="EX23" s="36" t="s">
        <v>78</v>
      </c>
      <c r="EY23" s="36" t="s">
        <v>78</v>
      </c>
      <c r="EZ23" s="36" t="s">
        <v>78</v>
      </c>
      <c r="FA23" s="36" t="s">
        <v>78</v>
      </c>
      <c r="FB23" s="36" t="s">
        <v>78</v>
      </c>
      <c r="FC23" s="36" t="s">
        <v>78</v>
      </c>
      <c r="FD23" s="36" t="s">
        <v>78</v>
      </c>
      <c r="FE23" s="36" t="s">
        <v>78</v>
      </c>
      <c r="FF23" s="36" t="s">
        <v>78</v>
      </c>
      <c r="FG23" s="36" t="s">
        <v>78</v>
      </c>
      <c r="FH23" s="36" t="s">
        <v>78</v>
      </c>
      <c r="FI23" s="36" t="s">
        <v>78</v>
      </c>
      <c r="FJ23" s="36" t="s">
        <v>78</v>
      </c>
      <c r="FK23" s="9" t="s">
        <v>67</v>
      </c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12"/>
    </row>
    <row r="24" spans="1:190" s="31" customFormat="1" ht="17" thickBot="1" x14ac:dyDescent="0.25">
      <c r="A24" s="53"/>
      <c r="B24" s="64"/>
      <c r="C24" s="47"/>
      <c r="D24" s="59"/>
      <c r="E24" s="30" t="s">
        <v>55</v>
      </c>
      <c r="F24" s="16"/>
      <c r="G24" s="16"/>
      <c r="H24" s="16"/>
      <c r="I24" s="16"/>
      <c r="J24" s="16"/>
      <c r="K24" s="16"/>
      <c r="L24" s="17" t="s">
        <v>67</v>
      </c>
      <c r="M24" s="40" t="s">
        <v>78</v>
      </c>
      <c r="N24" s="40" t="s">
        <v>78</v>
      </c>
      <c r="O24" s="40" t="s">
        <v>78</v>
      </c>
      <c r="P24" s="40" t="s">
        <v>78</v>
      </c>
      <c r="Q24" s="40" t="s">
        <v>78</v>
      </c>
      <c r="R24" s="40" t="s">
        <v>78</v>
      </c>
      <c r="S24" s="40" t="s">
        <v>78</v>
      </c>
      <c r="T24" s="37" t="s">
        <v>78</v>
      </c>
      <c r="U24" s="37" t="s">
        <v>78</v>
      </c>
      <c r="V24" s="37" t="s">
        <v>78</v>
      </c>
      <c r="W24" s="37" t="s">
        <v>78</v>
      </c>
      <c r="X24" s="18">
        <v>0</v>
      </c>
      <c r="Y24" s="17" t="s">
        <v>67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7" t="s">
        <v>67</v>
      </c>
      <c r="BS24" s="40" t="s">
        <v>78</v>
      </c>
      <c r="BT24" s="40" t="s">
        <v>78</v>
      </c>
      <c r="BU24" s="40" t="s">
        <v>78</v>
      </c>
      <c r="BV24" s="40" t="s">
        <v>78</v>
      </c>
      <c r="BW24" s="40" t="s">
        <v>78</v>
      </c>
      <c r="BX24" s="40" t="s">
        <v>78</v>
      </c>
      <c r="BY24" s="40" t="s">
        <v>78</v>
      </c>
      <c r="BZ24" s="40" t="s">
        <v>78</v>
      </c>
      <c r="CA24" s="40" t="s">
        <v>78</v>
      </c>
      <c r="CB24" s="40" t="s">
        <v>78</v>
      </c>
      <c r="CC24" s="18" t="s">
        <v>68</v>
      </c>
      <c r="CD24" s="18" t="s">
        <v>68</v>
      </c>
      <c r="CE24" s="18" t="s">
        <v>68</v>
      </c>
      <c r="CF24" s="18" t="s">
        <v>68</v>
      </c>
      <c r="CG24" s="18" t="s">
        <v>68</v>
      </c>
      <c r="CH24" s="18" t="s">
        <v>68</v>
      </c>
      <c r="CI24" s="18" t="s">
        <v>68</v>
      </c>
      <c r="CJ24" s="18" t="s">
        <v>68</v>
      </c>
      <c r="CK24" s="18" t="s">
        <v>68</v>
      </c>
      <c r="CL24" s="18" t="s">
        <v>68</v>
      </c>
      <c r="CM24" s="18" t="s">
        <v>68</v>
      </c>
      <c r="CN24" s="18" t="s">
        <v>68</v>
      </c>
      <c r="CO24" s="18" t="s">
        <v>68</v>
      </c>
      <c r="CP24" s="18" t="s">
        <v>68</v>
      </c>
      <c r="CQ24" s="18" t="s">
        <v>68</v>
      </c>
      <c r="CR24" s="18" t="s">
        <v>68</v>
      </c>
      <c r="CS24" s="18" t="s">
        <v>68</v>
      </c>
      <c r="CT24" s="18" t="s">
        <v>68</v>
      </c>
      <c r="CU24" s="17" t="s">
        <v>67</v>
      </c>
      <c r="CV24" s="16" t="s">
        <v>63</v>
      </c>
      <c r="CW24" s="16"/>
      <c r="CX24" s="17" t="s">
        <v>67</v>
      </c>
      <c r="CY24" s="37" t="s">
        <v>78</v>
      </c>
      <c r="CZ24" s="37" t="s">
        <v>78</v>
      </c>
      <c r="DA24" s="37" t="s">
        <v>78</v>
      </c>
      <c r="DB24" s="37" t="s">
        <v>78</v>
      </c>
      <c r="DC24" s="37" t="s">
        <v>78</v>
      </c>
      <c r="DD24" s="37" t="s">
        <v>78</v>
      </c>
      <c r="DE24" s="37" t="s">
        <v>78</v>
      </c>
      <c r="DF24" s="37" t="s">
        <v>78</v>
      </c>
      <c r="DG24" s="37" t="s">
        <v>78</v>
      </c>
      <c r="DH24" s="37" t="s">
        <v>78</v>
      </c>
      <c r="DI24" s="37" t="s">
        <v>78</v>
      </c>
      <c r="DJ24" s="37" t="s">
        <v>78</v>
      </c>
      <c r="DK24" s="17" t="s">
        <v>67</v>
      </c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7" t="s">
        <v>67</v>
      </c>
      <c r="EU24" s="37" t="s">
        <v>78</v>
      </c>
      <c r="EV24" s="37" t="s">
        <v>78</v>
      </c>
      <c r="EW24" s="37" t="s">
        <v>78</v>
      </c>
      <c r="EX24" s="37" t="s">
        <v>78</v>
      </c>
      <c r="EY24" s="37" t="s">
        <v>78</v>
      </c>
      <c r="EZ24" s="37" t="s">
        <v>78</v>
      </c>
      <c r="FA24" s="37" t="s">
        <v>78</v>
      </c>
      <c r="FB24" s="37" t="s">
        <v>78</v>
      </c>
      <c r="FC24" s="37" t="s">
        <v>78</v>
      </c>
      <c r="FD24" s="37" t="s">
        <v>78</v>
      </c>
      <c r="FE24" s="37" t="s">
        <v>78</v>
      </c>
      <c r="FF24" s="37" t="s">
        <v>78</v>
      </c>
      <c r="FG24" s="37" t="s">
        <v>78</v>
      </c>
      <c r="FH24" s="37" t="s">
        <v>78</v>
      </c>
      <c r="FI24" s="37" t="s">
        <v>78</v>
      </c>
      <c r="FJ24" s="37" t="s">
        <v>78</v>
      </c>
      <c r="FK24" s="37" t="s">
        <v>78</v>
      </c>
      <c r="FL24" s="37" t="s">
        <v>78</v>
      </c>
      <c r="FM24" s="37" t="s">
        <v>78</v>
      </c>
      <c r="FN24" s="37" t="s">
        <v>78</v>
      </c>
      <c r="FO24" s="37" t="s">
        <v>78</v>
      </c>
      <c r="FP24" s="37" t="s">
        <v>78</v>
      </c>
      <c r="FQ24" s="37" t="s">
        <v>78</v>
      </c>
      <c r="FR24" s="37" t="s">
        <v>78</v>
      </c>
      <c r="FS24" s="37" t="s">
        <v>78</v>
      </c>
      <c r="FT24" s="37" t="s">
        <v>78</v>
      </c>
      <c r="FU24" s="37" t="s">
        <v>78</v>
      </c>
      <c r="FV24" s="37" t="s">
        <v>78</v>
      </c>
      <c r="FW24" s="17" t="s">
        <v>67</v>
      </c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9"/>
    </row>
    <row r="25" spans="1:190" x14ac:dyDescent="0.2">
      <c r="E25" s="1"/>
    </row>
    <row r="26" spans="1:190" x14ac:dyDescent="0.2">
      <c r="A26" s="62" t="s">
        <v>72</v>
      </c>
      <c r="B26" t="s">
        <v>69</v>
      </c>
      <c r="C26" t="s">
        <v>71</v>
      </c>
      <c r="D26" t="s">
        <v>70</v>
      </c>
    </row>
    <row r="27" spans="1:190" x14ac:dyDescent="0.2">
      <c r="A27" s="63"/>
      <c r="B27">
        <f>SUM(C30:C32)</f>
        <v>152</v>
      </c>
      <c r="C27">
        <f>B27*24</f>
        <v>3648</v>
      </c>
      <c r="D27">
        <f>B27*288</f>
        <v>43776</v>
      </c>
    </row>
    <row r="28" spans="1:190" x14ac:dyDescent="0.2">
      <c r="A28" t="s">
        <v>73</v>
      </c>
      <c r="C28">
        <f>D27/60</f>
        <v>729.6</v>
      </c>
    </row>
    <row r="29" spans="1:190" ht="17" customHeight="1" x14ac:dyDescent="0.2">
      <c r="C29" t="s">
        <v>69</v>
      </c>
      <c r="D29" t="s">
        <v>74</v>
      </c>
    </row>
    <row r="30" spans="1:190" x14ac:dyDescent="0.2">
      <c r="A30" s="6"/>
      <c r="B30" t="s">
        <v>64</v>
      </c>
      <c r="C30">
        <f>COUNTIF(F3:GH24,  "x")</f>
        <v>114</v>
      </c>
      <c r="D30">
        <f>C30*288</f>
        <v>32832</v>
      </c>
    </row>
    <row r="31" spans="1:190" x14ac:dyDescent="0.2">
      <c r="A31" s="7"/>
      <c r="B31" t="s">
        <v>65</v>
      </c>
      <c r="C31">
        <f>COUNTIF(F3:GH24,  "0")</f>
        <v>38</v>
      </c>
      <c r="D31">
        <f t="shared" ref="D31:D32" si="0">C31*288</f>
        <v>10944</v>
      </c>
    </row>
    <row r="32" spans="1:190" x14ac:dyDescent="0.2">
      <c r="A32" s="32"/>
      <c r="B32" t="s">
        <v>66</v>
      </c>
      <c r="C32">
        <f>COUNTIF(F3:GH24,  "1")</f>
        <v>0</v>
      </c>
      <c r="D32">
        <f t="shared" si="0"/>
        <v>0</v>
      </c>
    </row>
    <row r="33" spans="1:4" x14ac:dyDescent="0.2">
      <c r="A33" s="33"/>
      <c r="B33" t="s">
        <v>76</v>
      </c>
      <c r="C33">
        <f>COUNTIF(F4:GH25,  "2")</f>
        <v>34</v>
      </c>
      <c r="D33">
        <f>D32/60</f>
        <v>0</v>
      </c>
    </row>
    <row r="34" spans="1:4" x14ac:dyDescent="0.2">
      <c r="A34" s="35"/>
      <c r="B34" t="s">
        <v>77</v>
      </c>
      <c r="C34">
        <f>COUNTIF(F5:GH26,  "3")</f>
        <v>790</v>
      </c>
    </row>
    <row r="36" spans="1:4" x14ac:dyDescent="0.2">
      <c r="A36" s="42"/>
      <c r="B36" t="s">
        <v>85</v>
      </c>
      <c r="D36">
        <f>1.66*(C31+C32)</f>
        <v>63.08</v>
      </c>
    </row>
  </sheetData>
  <mergeCells count="49">
    <mergeCell ref="A26:A27"/>
    <mergeCell ref="A15:A24"/>
    <mergeCell ref="B23:B24"/>
    <mergeCell ref="B21:B22"/>
    <mergeCell ref="B19:B20"/>
    <mergeCell ref="B17:B18"/>
    <mergeCell ref="B15:B16"/>
    <mergeCell ref="D21:D22"/>
    <mergeCell ref="D23:D24"/>
    <mergeCell ref="B7:B8"/>
    <mergeCell ref="D3:D4"/>
    <mergeCell ref="D5:D6"/>
    <mergeCell ref="D7:D8"/>
    <mergeCell ref="D9:D10"/>
    <mergeCell ref="D11:D12"/>
    <mergeCell ref="B11:B12"/>
    <mergeCell ref="B9:B10"/>
    <mergeCell ref="B13:B14"/>
    <mergeCell ref="D13:D14"/>
    <mergeCell ref="D15:D16"/>
    <mergeCell ref="D17:D18"/>
    <mergeCell ref="D19:D20"/>
    <mergeCell ref="C13:C14"/>
    <mergeCell ref="A9:A14"/>
    <mergeCell ref="B3:B4"/>
    <mergeCell ref="B5:B6"/>
    <mergeCell ref="CW1:DZ1"/>
    <mergeCell ref="EA1:EG1"/>
    <mergeCell ref="F1:T1"/>
    <mergeCell ref="E1:E2"/>
    <mergeCell ref="D1:D2"/>
    <mergeCell ref="B1:B2"/>
    <mergeCell ref="A1:A2"/>
    <mergeCell ref="A3:A8"/>
    <mergeCell ref="C3:C4"/>
    <mergeCell ref="C5:C6"/>
    <mergeCell ref="C7:C8"/>
    <mergeCell ref="C9:C10"/>
    <mergeCell ref="C11:C12"/>
    <mergeCell ref="EI1:FL1"/>
    <mergeCell ref="FM1:GH1"/>
    <mergeCell ref="U1:AY1"/>
    <mergeCell ref="AZ1:CD1"/>
    <mergeCell ref="CE1:CU1"/>
    <mergeCell ref="C15:C16"/>
    <mergeCell ref="C17:C18"/>
    <mergeCell ref="C19:C20"/>
    <mergeCell ref="C21:C22"/>
    <mergeCell ref="C23:C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Ching</dc:creator>
  <cp:lastModifiedBy>Christian Ching</cp:lastModifiedBy>
  <dcterms:created xsi:type="dcterms:W3CDTF">2024-11-11T13:59:35Z</dcterms:created>
  <dcterms:modified xsi:type="dcterms:W3CDTF">2025-02-17T17:49:41Z</dcterms:modified>
</cp:coreProperties>
</file>